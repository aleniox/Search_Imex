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0.99.102\Phong XNK\7. PHÁT TRIẾN SẢN PHẨM\"/>
    </mc:Choice>
  </mc:AlternateContent>
  <xr:revisionPtr revIDLastSave="0" documentId="8_{C722DC75-0699-48C8-98FA-15F23E2C0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bal Expo Database" sheetId="1" r:id="rId1"/>
    <sheet name="Dashboard" sheetId="2" r:id="rId2"/>
    <sheet name="AIPT Priority Shortlist" sheetId="3" r:id="rId3"/>
    <sheet name="Source Notes" sheetId="4" r:id="rId4"/>
    <sheet name="README" sheetId="5" r:id="rId5"/>
  </sheets>
  <definedNames>
    <definedName name="_xlnm._FilterDatabase" localSheetId="2" hidden="1">'AIPT Priority Shortlist'!$A$1:$O$35</definedName>
    <definedName name="_xlnm._FilterDatabase" localSheetId="0" hidden="1">'Global Expo Database'!$A$1:$O$133</definedName>
  </definedNames>
  <calcPr calcId="191029"/>
  <fileRecoveryPr repairLoad="1"/>
</workbook>
</file>

<file path=xl/calcChain.xml><?xml version="1.0" encoding="utf-8"?>
<calcChain xmlns="http://schemas.openxmlformats.org/spreadsheetml/2006/main">
  <c r="E11" i="2" l="1"/>
  <c r="E10" i="2"/>
  <c r="E9" i="2"/>
  <c r="B9" i="2"/>
  <c r="E8" i="2"/>
  <c r="B8" i="2"/>
  <c r="E7" i="2"/>
  <c r="B7" i="2"/>
  <c r="E6" i="2"/>
  <c r="B6" i="2"/>
  <c r="E5" i="2"/>
  <c r="B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Hardcoded prioritization based on AIPT relevance: defense, homeland security, DFIR, SIGINT/EW, UAV/C-UAS, surveillance and ASEAN accessibility.</t>
        </r>
      </text>
    </comment>
  </commentList>
</comments>
</file>

<file path=xl/sharedStrings.xml><?xml version="1.0" encoding="utf-8"?>
<sst xmlns="http://schemas.openxmlformats.org/spreadsheetml/2006/main" count="2077" uniqueCount="742">
  <si>
    <t>ID</t>
  </si>
  <si>
    <t>Region</t>
  </si>
  <si>
    <t>Country</t>
  </si>
  <si>
    <t>City</t>
  </si>
  <si>
    <t>Exhibition / Conference</t>
  </si>
  <si>
    <t>Official Website</t>
  </si>
  <si>
    <t>Main Category</t>
  </si>
  <si>
    <t>Focus Tags</t>
  </si>
  <si>
    <t>Frequency</t>
  </si>
  <si>
    <t>Typical Timing</t>
  </si>
  <si>
    <t>Next Known Cycle / Planning Window</t>
  </si>
  <si>
    <t>AIPT Fit Score (1-5)</t>
  </si>
  <si>
    <t>Recommended Action</t>
  </si>
  <si>
    <t>Notes</t>
  </si>
  <si>
    <t>Source / Verification URL</t>
  </si>
  <si>
    <t>Asia-Pacific</t>
  </si>
  <si>
    <t>Vietnam</t>
  </si>
  <si>
    <t>Hanoi</t>
  </si>
  <si>
    <t>Vietnam International Defence Expo</t>
  </si>
  <si>
    <t>https://vietnamdefence.vdi.org.vn</t>
  </si>
  <si>
    <t>Defense</t>
  </si>
  <si>
    <t>Tri-service; land; air; naval; defense industry</t>
  </si>
  <si>
    <t>Biennial</t>
  </si>
  <si>
    <t>December, even years</t>
  </si>
  <si>
    <t>Track 2026 / 2028</t>
  </si>
  <si>
    <t>Priority: exhibit/partner meetings</t>
  </si>
  <si>
    <t>Top domestic defense platform for AIPT customers</t>
  </si>
  <si>
    <t>Vietnam Security Summit</t>
  </si>
  <si>
    <t>https://vietnamsecuritysummit.com.vn</t>
  </si>
  <si>
    <t>Cyber Security</t>
  </si>
  <si>
    <t>Cyber; SOC; government IT security</t>
  </si>
  <si>
    <t>Annual</t>
  </si>
  <si>
    <t>May-June</t>
  </si>
  <si>
    <t>Track annually</t>
  </si>
  <si>
    <t>Attend / sponsor selectively</t>
  </si>
  <si>
    <t>Ho Chi Minh City</t>
  </si>
  <si>
    <t>Secutech Vietnam</t>
  </si>
  <si>
    <t>https://secutechvietnam.tw.messefrankfurt.com</t>
  </si>
  <si>
    <t>Security &amp; Safety</t>
  </si>
  <si>
    <t>Surveillance; access control; fire &amp; safety</t>
  </si>
  <si>
    <t>August</t>
  </si>
  <si>
    <t>Visitor / channel scan</t>
  </si>
  <si>
    <t>Smart City Asia</t>
  </si>
  <si>
    <t>https://smartcityasia.vn</t>
  </si>
  <si>
    <t>Smart Security</t>
  </si>
  <si>
    <t>AI camera; IoT; smart city; surveillance</t>
  </si>
  <si>
    <t>April-May</t>
  </si>
  <si>
    <t>Visitor / smart surveillance partners</t>
  </si>
  <si>
    <t>Vietnam ICTCOMM</t>
  </si>
  <si>
    <t>https://ictcomm.vn</t>
  </si>
  <si>
    <t>ICT / Telecom</t>
  </si>
  <si>
    <t>Telecom; ICT; network security</t>
  </si>
  <si>
    <t>June</t>
  </si>
  <si>
    <t>Visitor / ICT suppliers</t>
  </si>
  <si>
    <t>Fire Safety &amp; Rescue Vietnam</t>
  </si>
  <si>
    <t>https://firesafetyvietnam.com</t>
  </si>
  <si>
    <t>Rescue; emergency; fire safety; public safety</t>
  </si>
  <si>
    <t>Low priority unless public safety scope</t>
  </si>
  <si>
    <t>Singapore</t>
  </si>
  <si>
    <t>Singapore Airshow</t>
  </si>
  <si>
    <t>https://www.singaporeairshow.com</t>
  </si>
  <si>
    <t>Aerospace &amp; Defense</t>
  </si>
  <si>
    <t>Aerospace; military aviation; UAV; defense</t>
  </si>
  <si>
    <t>February, even years</t>
  </si>
  <si>
    <t>Priority: attend / partner meetings</t>
  </si>
  <si>
    <t>IMDEX Asia</t>
  </si>
  <si>
    <t>https://www.imdexasia.com</t>
  </si>
  <si>
    <t>Naval Defense</t>
  </si>
  <si>
    <t>Naval; maritime security; C4ISR</t>
  </si>
  <si>
    <t>May, odd years</t>
  </si>
  <si>
    <t>Track 2027 / 2029</t>
  </si>
  <si>
    <t>Priority: attend for naval solutions</t>
  </si>
  <si>
    <t>Milipol Asia-Pacific / TechX Summit</t>
  </si>
  <si>
    <t>https://www.milipolasiapacific.com</t>
  </si>
  <si>
    <t>Homeland Security</t>
  </si>
  <si>
    <t>Law enforcement; homeland security; border; forensics</t>
  </si>
  <si>
    <t>April</t>
  </si>
  <si>
    <t>Priority: attend / exhibit selectively</t>
  </si>
  <si>
    <t>ISS World Asia</t>
  </si>
  <si>
    <t>https://www.issworldtraining.com</t>
  </si>
  <si>
    <t>Intelligence / DFIR</t>
  </si>
  <si>
    <t>Lawful interception; OSINT; DFIR; cyber intelligence</t>
  </si>
  <si>
    <t>September</t>
  </si>
  <si>
    <t>Priority: attend for DFIR/SIGINT</t>
  </si>
  <si>
    <t>GovWare</t>
  </si>
  <si>
    <t>https://www.govware.sg</t>
  </si>
  <si>
    <t>Government cyber; critical infrastructure; SOC</t>
  </si>
  <si>
    <t>October</t>
  </si>
  <si>
    <t>Attend for cyber partners</t>
  </si>
  <si>
    <t>Cyber Security World Asia</t>
  </si>
  <si>
    <t>https://www.cybersecurityworldasia.com</t>
  </si>
  <si>
    <t>Cyber; cloud security; enterprise security</t>
  </si>
  <si>
    <t>Visitor / cyber vendor scan</t>
  </si>
  <si>
    <t>Black Hat Asia</t>
  </si>
  <si>
    <t>https://www.blackhat.com/asia-26/</t>
  </si>
  <si>
    <t>Offensive security; vulnerabilities; training</t>
  </si>
  <si>
    <t>Attend selectively for cyber intelligence</t>
  </si>
  <si>
    <t>Malaysia</t>
  </si>
  <si>
    <t>Kuala Lumpur</t>
  </si>
  <si>
    <t>DSA - Defence Services Asia</t>
  </si>
  <si>
    <t>https://www.dsaexhibition.com</t>
  </si>
  <si>
    <t>Defense / Homeland Security</t>
  </si>
  <si>
    <t>Tri-service; homeland security; EW; police</t>
  </si>
  <si>
    <t>April, even years</t>
  </si>
  <si>
    <t>Priority: attend / exhibit</t>
  </si>
  <si>
    <t>Major ASEAN defense &amp; homeland security event</t>
  </si>
  <si>
    <t>NATSEC Asia</t>
  </si>
  <si>
    <t>https://www.natsecasia.com</t>
  </si>
  <si>
    <t>National security; police; border; counter-terror</t>
  </si>
  <si>
    <t>Co-located with DSA</t>
  </si>
  <si>
    <t>Priority: attend with DSA</t>
  </si>
  <si>
    <t>Langkawi</t>
  </si>
  <si>
    <t>LIMA - Langkawi International Maritime &amp; Aerospace Exhibition</t>
  </si>
  <si>
    <t>https://www.limaexhibition.com</t>
  </si>
  <si>
    <t>Aerospace / Naval</t>
  </si>
  <si>
    <t>Maritime; aerospace; UAV; naval</t>
  </si>
  <si>
    <t>Priority: naval/UAV partner meetings</t>
  </si>
  <si>
    <t>Thailand</t>
  </si>
  <si>
    <t>Bangkok</t>
  </si>
  <si>
    <t>Defense &amp; Security Thailand</t>
  </si>
  <si>
    <t>https://www.asiandefense.com</t>
  </si>
  <si>
    <t>Defense; internal security; police; border</t>
  </si>
  <si>
    <t>November, odd years</t>
  </si>
  <si>
    <t>Priority: ASEAN market scan</t>
  </si>
  <si>
    <t>Cybersec Asia</t>
  </si>
  <si>
    <t>https://cybersec-asia.net</t>
  </si>
  <si>
    <t>Cyber; cloud; SOC; enterprise security</t>
  </si>
  <si>
    <t>January-February</t>
  </si>
  <si>
    <t>Visitor / cyber channel scan</t>
  </si>
  <si>
    <t>Indonesia</t>
  </si>
  <si>
    <t>Jakarta</t>
  </si>
  <si>
    <t>Indo Defence Expo &amp; Forum</t>
  </si>
  <si>
    <t>https://www.indodefence.com</t>
  </si>
  <si>
    <t>Tri-service; defense industry; C4ISR</t>
  </si>
  <si>
    <t>November, even years</t>
  </si>
  <si>
    <t>Indo Aerospace</t>
  </si>
  <si>
    <t>Aerospace; UAV; avionics</t>
  </si>
  <si>
    <t>Co-located with Indo Defence</t>
  </si>
  <si>
    <t>Attend with Indo Defence</t>
  </si>
  <si>
    <t>Indo Marine</t>
  </si>
  <si>
    <t>Naval; maritime security</t>
  </si>
  <si>
    <t>Cyber Security Indonesia</t>
  </si>
  <si>
    <t>https://www.cybersecurityindo.com</t>
  </si>
  <si>
    <t>Cyber security; data protection; enterprise security</t>
  </si>
  <si>
    <t>Visitor / cyber partners</t>
  </si>
  <si>
    <t>Philippines</t>
  </si>
  <si>
    <t>Manila</t>
  </si>
  <si>
    <t>ADAS - Asian Defense and Security</t>
  </si>
  <si>
    <t>https://www.adas.ph</t>
  </si>
  <si>
    <t>Defense / Security</t>
  </si>
  <si>
    <t>Defense; security; disaster response</t>
  </si>
  <si>
    <t>Attend selectively</t>
  </si>
  <si>
    <t>Brunei</t>
  </si>
  <si>
    <t>Bandar Seri Begawan</t>
  </si>
  <si>
    <t>BRIDEX</t>
  </si>
  <si>
    <t>https://www.bridex.com.bn</t>
  </si>
  <si>
    <t>Defense; security; ASEAN defense</t>
  </si>
  <si>
    <t>Irregular / Biennial historically</t>
  </si>
  <si>
    <t>Varies</t>
  </si>
  <si>
    <t>Verify annually</t>
  </si>
  <si>
    <t>Monitor only</t>
  </si>
  <si>
    <t>Japan</t>
  </si>
  <si>
    <t>Chiba</t>
  </si>
  <si>
    <t>DSEI Japan</t>
  </si>
  <si>
    <t>https://www.dsei-japan.com</t>
  </si>
  <si>
    <t>Tri-service; C4ISR; naval; aerospace</t>
  </si>
  <si>
    <t>May</t>
  </si>
  <si>
    <t>Priority: Japan technology partners</t>
  </si>
  <si>
    <t>Japan Drone / International Advanced Air Mobility Expo</t>
  </si>
  <si>
    <t>https://ssl.japan-drone.com/en_la/</t>
  </si>
  <si>
    <t>UAV / AAM</t>
  </si>
  <si>
    <t>Drone; counter-drone; autonomy; AAM</t>
  </si>
  <si>
    <t>Attend for UAV/counter-UAV</t>
  </si>
  <si>
    <t>Tokyo</t>
  </si>
  <si>
    <t>SEECAT - Special Equipment Exhibition &amp; Conference for Anti-Terrorism</t>
  </si>
  <si>
    <t>https://www.seecat.biz/en/</t>
  </si>
  <si>
    <t>Counter-Terror / Homeland Security</t>
  </si>
  <si>
    <t>Anti-terror; police; CBRN; surveillance</t>
  </si>
  <si>
    <t>Security Show Tokyo</t>
  </si>
  <si>
    <t>https://messe.nikkei.co.jp/en/ss/</t>
  </si>
  <si>
    <t>Security &amp; Surveillance</t>
  </si>
  <si>
    <t>Physical security; surveillance; access control</t>
  </si>
  <si>
    <t>March</t>
  </si>
  <si>
    <t>Visitor / surveillance scan</t>
  </si>
  <si>
    <t>South Korea</t>
  </si>
  <si>
    <t>Seoul</t>
  </si>
  <si>
    <t>Seoul ADEX</t>
  </si>
  <si>
    <t>https://www.seouladex.com</t>
  </si>
  <si>
    <t>Aerospace; defense; UAV; avionics</t>
  </si>
  <si>
    <t>October, odd years</t>
  </si>
  <si>
    <t>Priority: aerospace/UAV</t>
  </si>
  <si>
    <t>Goyang</t>
  </si>
  <si>
    <t>DX Korea</t>
  </si>
  <si>
    <t>https://www.dxkorea.org</t>
  </si>
  <si>
    <t>Land Defense</t>
  </si>
  <si>
    <t>Land forces; armored; C4ISR; soldier systems</t>
  </si>
  <si>
    <t>September, even years</t>
  </si>
  <si>
    <t>Busan</t>
  </si>
  <si>
    <t>MADEX - International Maritime Defense Industry Exhibition</t>
  </si>
  <si>
    <t>https://www.madex.co.kr</t>
  </si>
  <si>
    <t>June, odd years</t>
  </si>
  <si>
    <t>Attend for naval</t>
  </si>
  <si>
    <t>SECON Korea</t>
  </si>
  <si>
    <t>https://www.seconexpo.com</t>
  </si>
  <si>
    <t>Security; surveillance; access control; cyber</t>
  </si>
  <si>
    <t>Visitor</t>
  </si>
  <si>
    <t>Taiwan</t>
  </si>
  <si>
    <t>Taipei</t>
  </si>
  <si>
    <t>TADTE - Taipei Aerospace &amp; Defense Technology Exhibition</t>
  </si>
  <si>
    <t>https://www.tadte.com.tw</t>
  </si>
  <si>
    <t>Aerospace; defense; UAV; electronics</t>
  </si>
  <si>
    <t>China</t>
  </si>
  <si>
    <t>Zhuhai</t>
  </si>
  <si>
    <t>Airshow China</t>
  </si>
  <si>
    <t>https://www.airshow.com.cn/en/</t>
  </si>
  <si>
    <t>Aerospace; defense; UAV; missiles</t>
  </si>
  <si>
    <t>Monitor due to origin restrictions</t>
  </si>
  <si>
    <t>Shenzhen</t>
  </si>
  <si>
    <t>CPSE - China Public Security Expo</t>
  </si>
  <si>
    <t>https://www.cpse.com.cn</t>
  </si>
  <si>
    <t>Surveillance; access control; AI security</t>
  </si>
  <si>
    <t>World UAV Federation Expo</t>
  </si>
  <si>
    <t>https://www.wuavf.com</t>
  </si>
  <si>
    <t>UAV</t>
  </si>
  <si>
    <t>Drone; UAV; robotics; low-altitude economy</t>
  </si>
  <si>
    <t>Monitor for UAV market</t>
  </si>
  <si>
    <t>Beijing</t>
  </si>
  <si>
    <t>China Police Expo</t>
  </si>
  <si>
    <t>https://www.police-expo.com.cn</t>
  </si>
  <si>
    <t>Police / Homeland Security</t>
  </si>
  <si>
    <t>Police equipment; public security; forensics</t>
  </si>
  <si>
    <t>India</t>
  </si>
  <si>
    <t>New Delhi / Goa / Gujarat</t>
  </si>
  <si>
    <t>DefExpo India</t>
  </si>
  <si>
    <t>https://www.defexpo.gov.in</t>
  </si>
  <si>
    <t>Defense; land; naval; aerospace</t>
  </si>
  <si>
    <t>Verify 2026/2028</t>
  </si>
  <si>
    <t>Bengaluru</t>
  </si>
  <si>
    <t>Aero India</t>
  </si>
  <si>
    <t>https://aeroindia.gov.in</t>
  </si>
  <si>
    <t>February, odd years</t>
  </si>
  <si>
    <t>New Delhi</t>
  </si>
  <si>
    <t>Milipol India</t>
  </si>
  <si>
    <t>https://www.milipolindia.com</t>
  </si>
  <si>
    <t>Internal security; police; counter-terror</t>
  </si>
  <si>
    <t>Annual / developing</t>
  </si>
  <si>
    <t>Monitor</t>
  </si>
  <si>
    <t>India Homeland Security Expo</t>
  </si>
  <si>
    <t>https://www.indiasecurityexpo.com</t>
  </si>
  <si>
    <t>Homeland security; police; surveillance</t>
  </si>
  <si>
    <t>July</t>
  </si>
  <si>
    <t>Australia</t>
  </si>
  <si>
    <t>Geelong</t>
  </si>
  <si>
    <t>Avalon Australian International Airshow</t>
  </si>
  <si>
    <t>https://www.airshow.com.au</t>
  </si>
  <si>
    <t>Aerospace; defense; UAV; aviation</t>
  </si>
  <si>
    <t>March, odd years</t>
  </si>
  <si>
    <t>Sydney</t>
  </si>
  <si>
    <t>Indo Pacific International Maritime Exposition</t>
  </si>
  <si>
    <t>https://www.indopacificexpo.com.au</t>
  </si>
  <si>
    <t>Naval; maritime; C4ISR; undersea</t>
  </si>
  <si>
    <t>Brisbane / Melbourne</t>
  </si>
  <si>
    <t>Land Forces International Land Defence Exposition</t>
  </si>
  <si>
    <t>https://www.landforces.com.au</t>
  </si>
  <si>
    <t>Land forces; soldier systems; C4ISR</t>
  </si>
  <si>
    <t>Perth</t>
  </si>
  <si>
    <t>Indian Ocean Defence &amp; Security Conference and Exhibition</t>
  </si>
  <si>
    <t>https://www.iods.com.au</t>
  </si>
  <si>
    <t>Defense / Maritime</t>
  </si>
  <si>
    <t>Indian Ocean security; maritime; AUKUS; industry</t>
  </si>
  <si>
    <t>Biennial / Annual developing</t>
  </si>
  <si>
    <t>Monitor/attend</t>
  </si>
  <si>
    <t>Middle East</t>
  </si>
  <si>
    <t>UAE</t>
  </si>
  <si>
    <t>Abu Dhabi</t>
  </si>
  <si>
    <t>IDEX</t>
  </si>
  <si>
    <t>https://www.idexuae.ae</t>
  </si>
  <si>
    <t>Priority: Middle East suppliers</t>
  </si>
  <si>
    <t>NAVDEX</t>
  </si>
  <si>
    <t>https://www.navdex.ae</t>
  </si>
  <si>
    <t>February with IDEX</t>
  </si>
  <si>
    <t>Attend with IDEX</t>
  </si>
  <si>
    <t>UMEX &amp; SimTEX</t>
  </si>
  <si>
    <t>https://www.umexabudhabi.ae</t>
  </si>
  <si>
    <t>UAV / Simulation</t>
  </si>
  <si>
    <t>Unmanned systems; simulation; robotics</t>
  </si>
  <si>
    <t>January-February, even years</t>
  </si>
  <si>
    <t>Priority: UAV/counter-UAV</t>
  </si>
  <si>
    <t>ISNR Abu Dhabi</t>
  </si>
  <si>
    <t>https://www.isnrabudhabi.com</t>
  </si>
  <si>
    <t>National security; resilience; police; emergency</t>
  </si>
  <si>
    <t>May, even years</t>
  </si>
  <si>
    <t>Dubai</t>
  </si>
  <si>
    <t>Dubai Airshow</t>
  </si>
  <si>
    <t>https://www.dubaiairshow.aero</t>
  </si>
  <si>
    <t>Intersec Dubai</t>
  </si>
  <si>
    <t>https://intersec.ae.messefrankfurt.com</t>
  </si>
  <si>
    <t>Security; surveillance; fire; homeland security</t>
  </si>
  <si>
    <t>January</t>
  </si>
  <si>
    <t>Attend for security/surveillance</t>
  </si>
  <si>
    <t>Qatar</t>
  </si>
  <si>
    <t>Doha</t>
  </si>
  <si>
    <t>DIMDEX</t>
  </si>
  <si>
    <t>https://dimdex.com</t>
  </si>
  <si>
    <t>Maritime defense; naval; C4ISR</t>
  </si>
  <si>
    <t>January-March, even years</t>
  </si>
  <si>
    <t>Milipol Qatar</t>
  </si>
  <si>
    <t>https://www.milipolqatar.com</t>
  </si>
  <si>
    <t>Internal security; police; civil defence</t>
  </si>
  <si>
    <t>Saudi Arabia</t>
  </si>
  <si>
    <t>Riyadh</t>
  </si>
  <si>
    <t>World Defense Show</t>
  </si>
  <si>
    <t>https://www.worlddefenseshow.com</t>
  </si>
  <si>
    <t>Tri-service; defense; aerospace; security</t>
  </si>
  <si>
    <t>Priority: strategic sourcing</t>
  </si>
  <si>
    <t>Saudi International Airshow</t>
  </si>
  <si>
    <t>https://saudiairshow.aero</t>
  </si>
  <si>
    <t>Aerospace; aviation; defense</t>
  </si>
  <si>
    <t>Biennial / developing</t>
  </si>
  <si>
    <t>February</t>
  </si>
  <si>
    <t>Turkey</t>
  </si>
  <si>
    <t>Istanbul</t>
  </si>
  <si>
    <t>IDEF - International Defence Industry Fair</t>
  </si>
  <si>
    <t>https://idef.com.tr</t>
  </si>
  <si>
    <t>Defense industry; land; air; naval</t>
  </si>
  <si>
    <t>July / May, odd years</t>
  </si>
  <si>
    <t>Priority: Turkey suppliers</t>
  </si>
  <si>
    <t>SAHA Expo</t>
  </si>
  <si>
    <t>https://www.sahaexpo.com</t>
  </si>
  <si>
    <t>Defense / Aerospace</t>
  </si>
  <si>
    <t>Defense; aerospace; high technology</t>
  </si>
  <si>
    <t>October, even years</t>
  </si>
  <si>
    <t>Eurasia Airshow</t>
  </si>
  <si>
    <t>https://eurasiaairshow.eu</t>
  </si>
  <si>
    <t>Irregular</t>
  </si>
  <si>
    <t>Bahrain</t>
  </si>
  <si>
    <t>Sakhir</t>
  </si>
  <si>
    <t>Bahrain International Airshow</t>
  </si>
  <si>
    <t>https://www.bahraininternationalairshow.com</t>
  </si>
  <si>
    <t>Jordan</t>
  </si>
  <si>
    <t>Aqaba</t>
  </si>
  <si>
    <t>SOFEX Jordan</t>
  </si>
  <si>
    <t>https://sofexjordan.com</t>
  </si>
  <si>
    <t>Special Operations</t>
  </si>
  <si>
    <t>SOF; counter-terror; special equipment</t>
  </si>
  <si>
    <t>September / October</t>
  </si>
  <si>
    <t>Africa</t>
  </si>
  <si>
    <t>Egypt</t>
  </si>
  <si>
    <t>Cairo</t>
  </si>
  <si>
    <t>EDEX - Egypt Defence Expo</t>
  </si>
  <si>
    <t>https://www.egyptdefenceexpo.com</t>
  </si>
  <si>
    <t>Defense; homeland security; regional market</t>
  </si>
  <si>
    <t>December, odd years</t>
  </si>
  <si>
    <t>South Africa</t>
  </si>
  <si>
    <t>Pretoria</t>
  </si>
  <si>
    <t>AAD - Africa Aerospace and Defence</t>
  </si>
  <si>
    <t>https://www.aadexpo.co.za</t>
  </si>
  <si>
    <t>Aerospace; land; naval; defense</t>
  </si>
  <si>
    <t>Johannesburg</t>
  </si>
  <si>
    <t>Securex South Africa</t>
  </si>
  <si>
    <t>https://www.securex.co.za</t>
  </si>
  <si>
    <t>Security; fire; facilities; surveillance</t>
  </si>
  <si>
    <t>Côte d'Ivoire</t>
  </si>
  <si>
    <t>Abidjan</t>
  </si>
  <si>
    <t>ShieldAfrica</t>
  </si>
  <si>
    <t>https://www.shieldafrica.com</t>
  </si>
  <si>
    <t>Security / Defense</t>
  </si>
  <si>
    <t>Security; defense; public safety; Africa market</t>
  </si>
  <si>
    <t>Nigeria</t>
  </si>
  <si>
    <t>Abuja</t>
  </si>
  <si>
    <t>Sea Power for Africa Symposium</t>
  </si>
  <si>
    <t>https://www.defenseadvancement.com/events/sea-power-for-africa-symposium/</t>
  </si>
  <si>
    <t>Naval / Maritime</t>
  </si>
  <si>
    <t>Maritime security; naval cooperation</t>
  </si>
  <si>
    <t>Europe</t>
  </si>
  <si>
    <t>France</t>
  </si>
  <si>
    <t>Paris</t>
  </si>
  <si>
    <t>Eurosatory</t>
  </si>
  <si>
    <t>https://www.eurosatory.com</t>
  </si>
  <si>
    <t>Land &amp; air-land defense; security; robotics</t>
  </si>
  <si>
    <t>June, even years</t>
  </si>
  <si>
    <t>Priority: exhibit/meet suppliers</t>
  </si>
  <si>
    <t>Milipol Paris</t>
  </si>
  <si>
    <t>https://www.milipol.com</t>
  </si>
  <si>
    <t>Internal security; police; border; forensics</t>
  </si>
  <si>
    <t>Priority: homeland security</t>
  </si>
  <si>
    <t>Paris / Le Bourget</t>
  </si>
  <si>
    <t>Paris Air Show</t>
  </si>
  <si>
    <t>https://www.siae.fr/en/</t>
  </si>
  <si>
    <t>EURONAVAL</t>
  </si>
  <si>
    <t>https://www.euronaval.fr</t>
  </si>
  <si>
    <t>Naval; maritime; undersea; C4ISR</t>
  </si>
  <si>
    <t>Priority: naval</t>
  </si>
  <si>
    <t>Bordeaux / Souge</t>
  </si>
  <si>
    <t>SOFINS</t>
  </si>
  <si>
    <t>https://www.sofins-2025.fr</t>
  </si>
  <si>
    <t>SOF; special equipment; tactical systems</t>
  </si>
  <si>
    <t>April, odd years</t>
  </si>
  <si>
    <t>United Kingdom</t>
  </si>
  <si>
    <t>London</t>
  </si>
  <si>
    <t>DSEI UK</t>
  </si>
  <si>
    <t>https://www.dsei.co.uk</t>
  </si>
  <si>
    <t>Tri-service; defense; security; cyber</t>
  </si>
  <si>
    <t>September, odd years</t>
  </si>
  <si>
    <t>Priority: global defense</t>
  </si>
  <si>
    <t>Farnborough</t>
  </si>
  <si>
    <t>Farnborough International Airshow</t>
  </si>
  <si>
    <t>https://www.farnboroughairshow.com</t>
  </si>
  <si>
    <t>Aerospace; defense; aviation</t>
  </si>
  <si>
    <t>July, even years</t>
  </si>
  <si>
    <t>Security &amp; Policing</t>
  </si>
  <si>
    <t>https://www.securityandpolicing.co.uk</t>
  </si>
  <si>
    <t>UK government security; police; border; forensics</t>
  </si>
  <si>
    <t>Priority for police/forensics</t>
  </si>
  <si>
    <t>International Security Expo</t>
  </si>
  <si>
    <t>https://www.internationalsecurityexpo.com</t>
  </si>
  <si>
    <t>Security / Counter-Terror</t>
  </si>
  <si>
    <t>Counter-terror; border; aviation security; resilience</t>
  </si>
  <si>
    <t>Infosecurity Europe</t>
  </si>
  <si>
    <t>https://www.infosecurityeurope.com</t>
  </si>
  <si>
    <t>Cyber; enterprise security; risk</t>
  </si>
  <si>
    <t>Cyber vendor scan</t>
  </si>
  <si>
    <t>Birmingham / London</t>
  </si>
  <si>
    <t>DPRTE - Defence Procurement, Research, Technology &amp; Exportability</t>
  </si>
  <si>
    <t>https://www.dprte.co.uk</t>
  </si>
  <si>
    <t>Defense Procurement</t>
  </si>
  <si>
    <t>Procurement; defense technology; UK MOD supply chain</t>
  </si>
  <si>
    <t>Manchester / Birmingham</t>
  </si>
  <si>
    <t>CYBERUK</t>
  </si>
  <si>
    <t>https://www.cyberuk.uk</t>
  </si>
  <si>
    <t>National cyber; government; critical infrastructure</t>
  </si>
  <si>
    <t>Germany</t>
  </si>
  <si>
    <t>Berlin</t>
  </si>
  <si>
    <t>ILA Berlin Air Show</t>
  </si>
  <si>
    <t>https://www.ila-berlin.de/en</t>
  </si>
  <si>
    <t>Aerospace; defense; space; UAV</t>
  </si>
  <si>
    <t>Leipzig</t>
  </si>
  <si>
    <t>GPEC - General Police Equipment Exhibition &amp; Conference</t>
  </si>
  <si>
    <t>https://www.gpec.de</t>
  </si>
  <si>
    <t>Police; border; customs; intelligence; tactical</t>
  </si>
  <si>
    <t>Priority: police equipment</t>
  </si>
  <si>
    <t>Nuremberg</t>
  </si>
  <si>
    <t>Enforce Tac</t>
  </si>
  <si>
    <t>https://www.enforcetac.com</t>
  </si>
  <si>
    <t>Law Enforcement / Tactical</t>
  </si>
  <si>
    <t>Police; military tactical; security authorities</t>
  </si>
  <si>
    <t>Essen</t>
  </si>
  <si>
    <t>Security Essen</t>
  </si>
  <si>
    <t>https://www.security-essen.de</t>
  </si>
  <si>
    <t>Commercial security; surveillance; access control</t>
  </si>
  <si>
    <t>Bonn</t>
  </si>
  <si>
    <t>AFCEA Bonn / AFCEA Fachausstellung</t>
  </si>
  <si>
    <t>https://www.afcea.de</t>
  </si>
  <si>
    <t>C4ISR / Cyber</t>
  </si>
  <si>
    <t>C4ISR; cyber; defense IT; communications</t>
  </si>
  <si>
    <t>Hannover</t>
  </si>
  <si>
    <t>DSEI Germany</t>
  </si>
  <si>
    <t>https://www.dsei-germany.com</t>
  </si>
  <si>
    <t>Defense; land; air; naval; cyber</t>
  </si>
  <si>
    <t>Biennial from 2027</t>
  </si>
  <si>
    <t>Monitor / attend launch edition</t>
  </si>
  <si>
    <t>Spain</t>
  </si>
  <si>
    <t>Madrid</t>
  </si>
  <si>
    <t>FEINDEF</t>
  </si>
  <si>
    <t>https://www.feindef.com</t>
  </si>
  <si>
    <t>Defense; security; industry; dual-use</t>
  </si>
  <si>
    <t>HOMSEC</t>
  </si>
  <si>
    <t>https://www.homsec.es</t>
  </si>
  <si>
    <t>Homeland security; defense; public safety</t>
  </si>
  <si>
    <t>Biennial / irregular</t>
  </si>
  <si>
    <t>Poland</t>
  </si>
  <si>
    <t>Kielce</t>
  </si>
  <si>
    <t>MSPO</t>
  </si>
  <si>
    <t>https://www.targikielce.pl/en/mspo</t>
  </si>
  <si>
    <t>Defense; land systems; regional defense</t>
  </si>
  <si>
    <t>Gdansk</t>
  </si>
  <si>
    <t>BALT Military Expo</t>
  </si>
  <si>
    <t>https://www.baltmilitary.pl</t>
  </si>
  <si>
    <t>Naval / Defense</t>
  </si>
  <si>
    <t>Naval; maritime; defense; safety</t>
  </si>
  <si>
    <t>Greece</t>
  </si>
  <si>
    <t>Athens</t>
  </si>
  <si>
    <t>DEFEA</t>
  </si>
  <si>
    <t>https://defea.gr</t>
  </si>
  <si>
    <t>Defense; security; regional procurement</t>
  </si>
  <si>
    <t>Czech Republic</t>
  </si>
  <si>
    <t>Brno</t>
  </si>
  <si>
    <t>IDET</t>
  </si>
  <si>
    <t>https://www.bvv.cz/en/idet</t>
  </si>
  <si>
    <t>Defense; security; land systems</t>
  </si>
  <si>
    <t>Bulgaria</t>
  </si>
  <si>
    <t>Plovdiv</t>
  </si>
  <si>
    <t>HEMUS</t>
  </si>
  <si>
    <t>https://www.hemusbg.org</t>
  </si>
  <si>
    <t>Defense; anti-terrorism; security</t>
  </si>
  <si>
    <t>Romania</t>
  </si>
  <si>
    <t>Bucharest</t>
  </si>
  <si>
    <t>BSDA - Black Sea Defense &amp; Aerospace</t>
  </si>
  <si>
    <t>https://www.bsda.ro</t>
  </si>
  <si>
    <t>Defense; aerospace; Black Sea security</t>
  </si>
  <si>
    <t>Serbia</t>
  </si>
  <si>
    <t>Belgrade</t>
  </si>
  <si>
    <t>Partner International Fair of Armaments and Defense Equipment</t>
  </si>
  <si>
    <t>https://sajam.rs/en/fair/partner/</t>
  </si>
  <si>
    <t>Defense equipment; armaments; regional market</t>
  </si>
  <si>
    <t>Sweden</t>
  </si>
  <si>
    <t>Stockholm</t>
  </si>
  <si>
    <t>Homeland Security Expo Sweden</t>
  </si>
  <si>
    <t>https://www.homelandsecurityexpo.com</t>
  </si>
  <si>
    <t>Policing; defense; forensics; drones; counter-drone</t>
  </si>
  <si>
    <t>December</t>
  </si>
  <si>
    <t>Norway</t>
  </si>
  <si>
    <t>Oslo</t>
  </si>
  <si>
    <t>Nor-Shipping / Security &amp; Ocean Tech segments</t>
  </si>
  <si>
    <t>https://www.nor-shipping.com</t>
  </si>
  <si>
    <t>Maritime Security</t>
  </si>
  <si>
    <t>Maritime; ocean tech; security adjacent</t>
  </si>
  <si>
    <t>Low priority</t>
  </si>
  <si>
    <t>Europe - rotating</t>
  </si>
  <si>
    <t>Rotating</t>
  </si>
  <si>
    <t>AOC Europe</t>
  </si>
  <si>
    <t>https://www.crows.org/page/AOCEurope</t>
  </si>
  <si>
    <t>EW / SIGINT</t>
  </si>
  <si>
    <t>Electronic warfare; spectrum; SIGINT; CEMA</t>
  </si>
  <si>
    <t>Priority: EW/SIGINT</t>
  </si>
  <si>
    <t>EW Europe</t>
  </si>
  <si>
    <t>https://www.eweurope.com</t>
  </si>
  <si>
    <t>Electronic warfare; spectrum operations; CEMA</t>
  </si>
  <si>
    <t>World Border Security Congress</t>
  </si>
  <si>
    <t>https://world-border-congress.com</t>
  </si>
  <si>
    <t>Border Security</t>
  </si>
  <si>
    <t>Border management; biometrics; surveillance</t>
  </si>
  <si>
    <t>March-April</t>
  </si>
  <si>
    <t>Attend for border solutions</t>
  </si>
  <si>
    <t>Munich</t>
  </si>
  <si>
    <t>Munich Security Conference</t>
  </si>
  <si>
    <t>https://securityconference.org</t>
  </si>
  <si>
    <t>Strategic Security Conference</t>
  </si>
  <si>
    <t>Policy; defense; geopolitics; procurement context</t>
  </si>
  <si>
    <t>Policy monitoring only</t>
  </si>
  <si>
    <t>North America</t>
  </si>
  <si>
    <t>United States</t>
  </si>
  <si>
    <t>Washington, DC</t>
  </si>
  <si>
    <t>AUSA Annual Meeting &amp; Exposition</t>
  </si>
  <si>
    <t>https://meetings.ausa.org/annual/</t>
  </si>
  <si>
    <t>Army; land warfare; soldier systems; C4ISR</t>
  </si>
  <si>
    <t>Priority: US defense suppliers</t>
  </si>
  <si>
    <t>National Harbor, MD</t>
  </si>
  <si>
    <t>Sea-Air-Space</t>
  </si>
  <si>
    <t>https://seaairspace.org</t>
  </si>
  <si>
    <t>Naval / Aerospace Defense</t>
  </si>
  <si>
    <t>Navy; maritime; aerospace; C4ISR</t>
  </si>
  <si>
    <t>Priority: naval/aerospace</t>
  </si>
  <si>
    <t>Tampa, FL</t>
  </si>
  <si>
    <t>SOF Week</t>
  </si>
  <si>
    <t>https://sofweek.org</t>
  </si>
  <si>
    <t>SOF; tactical systems; ISR; counter-terror</t>
  </si>
  <si>
    <t>Priority: SOF suppliers</t>
  </si>
  <si>
    <t>Washington, DC / Quantico area</t>
  </si>
  <si>
    <t>Modern Day Marine</t>
  </si>
  <si>
    <t>https://www.marinemilitaryexpos.com</t>
  </si>
  <si>
    <t>Marine Corps; expeditionary; tactical systems</t>
  </si>
  <si>
    <t>San Diego, CA</t>
  </si>
  <si>
    <t>WEST - AFCEA / USNI</t>
  </si>
  <si>
    <t>https://www.westconference.org</t>
  </si>
  <si>
    <t>C4ISR / Naval</t>
  </si>
  <si>
    <t>Naval; C4ISR; cyber; communications</t>
  </si>
  <si>
    <t>Colorado Springs, CO</t>
  </si>
  <si>
    <t>Space Symposium</t>
  </si>
  <si>
    <t>https://www.spacesymposium.org</t>
  </si>
  <si>
    <t>Space Defense</t>
  </si>
  <si>
    <t>Space; defense; satellite; ISR</t>
  </si>
  <si>
    <t>Monitor/attend for space ISR</t>
  </si>
  <si>
    <t>AFA Air, Space &amp; Cyber Conference</t>
  </si>
  <si>
    <t>https://www.afa.org/air-space-cyber-conference/</t>
  </si>
  <si>
    <t>Aerospace / Cyber Defense</t>
  </si>
  <si>
    <t>Air force; space; cyber; defense industry</t>
  </si>
  <si>
    <t>AOC International Symposium &amp; Convention</t>
  </si>
  <si>
    <t>https://www.crows.org</t>
  </si>
  <si>
    <t>Las Vegas, NV</t>
  </si>
  <si>
    <t>IWCE</t>
  </si>
  <si>
    <t>https://iwceexpo.com</t>
  </si>
  <si>
    <t>Communications / Public Safety</t>
  </si>
  <si>
    <t>Critical communications; public safety; mission critical</t>
  </si>
  <si>
    <t>Attend for comms partners</t>
  </si>
  <si>
    <t>Myrtle Beach, SC</t>
  </si>
  <si>
    <t>Techno Security &amp; Digital Forensics Conference East</t>
  </si>
  <si>
    <t>https://technosecurity.us/east/</t>
  </si>
  <si>
    <t>Digital Forensics</t>
  </si>
  <si>
    <t>DFIR; mobile forensics; investigations; cybercrime</t>
  </si>
  <si>
    <t>Priority: Cellebrite/DFIR ecosystem</t>
  </si>
  <si>
    <t>Pasadena, CA</t>
  </si>
  <si>
    <t>Techno Security &amp; Digital Forensics Conference West</t>
  </si>
  <si>
    <t>https://technosecurity.us/west/</t>
  </si>
  <si>
    <t>DFIR; cybercrime; investigations</t>
  </si>
  <si>
    <t>Priority: DFIR</t>
  </si>
  <si>
    <t>San Francisco, CA</t>
  </si>
  <si>
    <t>RSA Conference</t>
  </si>
  <si>
    <t>https://www.rsaconference.com</t>
  </si>
  <si>
    <t>Cyber; identity; cloud; risk; government</t>
  </si>
  <si>
    <t>Black Hat USA</t>
  </si>
  <si>
    <t>https://www.blackhat.com</t>
  </si>
  <si>
    <t>Offensive security; threat research; tools</t>
  </si>
  <si>
    <t>DEF CON</t>
  </si>
  <si>
    <t>https://defcon.org</t>
  </si>
  <si>
    <t>Security research; hacking; cyber community</t>
  </si>
  <si>
    <t>Research only</t>
  </si>
  <si>
    <t>Phoenix / San Antonio / rotating</t>
  </si>
  <si>
    <t>Border Security Expo</t>
  </si>
  <si>
    <t>https://www.bordersecurityexpo.com</t>
  </si>
  <si>
    <t>Border surveillance; biometrics; detection; C-UAS</t>
  </si>
  <si>
    <t>Priority for border customers</t>
  </si>
  <si>
    <t>ISC West</t>
  </si>
  <si>
    <t>https://www.iscwest.com</t>
  </si>
  <si>
    <t>Security; access control; video; alarms</t>
  </si>
  <si>
    <t>Surveillance vendor scan</t>
  </si>
  <si>
    <t>GSX - Global Security Exchange</t>
  </si>
  <si>
    <t>https://www.gsx.org</t>
  </si>
  <si>
    <t>Security Management</t>
  </si>
  <si>
    <t>Security management; physical security; risk</t>
  </si>
  <si>
    <t>Anaheim / rotating</t>
  </si>
  <si>
    <t>XPONENTIAL</t>
  </si>
  <si>
    <t>https://www.xponential.org</t>
  </si>
  <si>
    <t>UAV / Robotics</t>
  </si>
  <si>
    <t>UAV; robotics; autonomy; uncrewed systems</t>
  </si>
  <si>
    <t>Commercial UAV Expo</t>
  </si>
  <si>
    <t>https://www.expouav.com</t>
  </si>
  <si>
    <t>Commercial UAV; public safety; mapping; inspection</t>
  </si>
  <si>
    <t>Attend for UAV suppliers</t>
  </si>
  <si>
    <t>SHOT Show</t>
  </si>
  <si>
    <t>https://shotshow.org</t>
  </si>
  <si>
    <t>Law enforcement; tactical gear; outdoor; firearms-adjacent</t>
  </si>
  <si>
    <t>Low priority; regulated product caution</t>
  </si>
  <si>
    <t>Canada</t>
  </si>
  <si>
    <t>Ottawa</t>
  </si>
  <si>
    <t>CANSEC</t>
  </si>
  <si>
    <t>https://www.defenceandsecurity.ca/CANSEC/</t>
  </si>
  <si>
    <t>Defense; security; Canadian industry</t>
  </si>
  <si>
    <t>Halifax</t>
  </si>
  <si>
    <t>DEFSEC Atlantic</t>
  </si>
  <si>
    <t>https://defsecatlantic.ca</t>
  </si>
  <si>
    <t>Defense / Aerospace / Maritime</t>
  </si>
  <si>
    <t>Defense; aerospace; maritime; Atlantic Canada</t>
  </si>
  <si>
    <t>SecureTech</t>
  </si>
  <si>
    <t>https://www.defenceandsecurity.ca/SecureTech/</t>
  </si>
  <si>
    <t>Security / Public Safety</t>
  </si>
  <si>
    <t>Public safety; security; emergency management</t>
  </si>
  <si>
    <t>November</t>
  </si>
  <si>
    <t>Latin America</t>
  </si>
  <si>
    <t>Brazil</t>
  </si>
  <si>
    <t>Rio de Janeiro</t>
  </si>
  <si>
    <t>LAAD Defence &amp; Security</t>
  </si>
  <si>
    <t>https://www.laadexpo.com.br</t>
  </si>
  <si>
    <t>Defense; security; Latin America market</t>
  </si>
  <si>
    <t>Priority for LATAM market scan</t>
  </si>
  <si>
    <t>Chile</t>
  </si>
  <si>
    <t>Santiago</t>
  </si>
  <si>
    <t>FIDAE</t>
  </si>
  <si>
    <t>https://www.fidae.cl</t>
  </si>
  <si>
    <t>Aerospace; defense; aviation; space</t>
  </si>
  <si>
    <t>Peru</t>
  </si>
  <si>
    <t>Lima</t>
  </si>
  <si>
    <t>SITDEF Peru</t>
  </si>
  <si>
    <t>https://www.sitdef.com</t>
  </si>
  <si>
    <t>Colombia</t>
  </si>
  <si>
    <t>Bogotá</t>
  </si>
  <si>
    <t>Expodefensa</t>
  </si>
  <si>
    <t>https://www.expodefensa.com.co</t>
  </si>
  <si>
    <t>Defense; security; public safety</t>
  </si>
  <si>
    <t>Rionegro</t>
  </si>
  <si>
    <t>F-Air Colombia</t>
  </si>
  <si>
    <t>https://www.f-aircolombia.com.co</t>
  </si>
  <si>
    <t>July, odd years</t>
  </si>
  <si>
    <t>Mexico</t>
  </si>
  <si>
    <t>Mexico City</t>
  </si>
  <si>
    <t>FAMEX - Feria Aeroespacial México</t>
  </si>
  <si>
    <t>https://www.f-airmexico.com.mx</t>
  </si>
  <si>
    <t>Expo Seguridad México</t>
  </si>
  <si>
    <t>https://www.exposeguridadmexico.com</t>
  </si>
  <si>
    <t>Security; surveillance; public safety</t>
  </si>
  <si>
    <t>Global / Rotating</t>
  </si>
  <si>
    <t>Global</t>
  </si>
  <si>
    <t>ISS World Programs</t>
  </si>
  <si>
    <t>Lawful interception; cyber intelligence; DFIR; OSINT</t>
  </si>
  <si>
    <t>Annual / regional</t>
  </si>
  <si>
    <t>Regional schedules</t>
  </si>
  <si>
    <t>Priority: DFIR/SIGINT intelligence ecosystem</t>
  </si>
  <si>
    <t>DFRWS</t>
  </si>
  <si>
    <t>https://dfrws.org</t>
  </si>
  <si>
    <t>Digital forensics research; incident response; evidence</t>
  </si>
  <si>
    <t>Attend for DFIR knowledge</t>
  </si>
  <si>
    <t>ICDF2C - Digital Forensics &amp; Cyber Crime Conference</t>
  </si>
  <si>
    <t>https://icdf2c.org</t>
  </si>
  <si>
    <t>Digital forensics; cybercrime; academic/industry</t>
  </si>
  <si>
    <t>Research/technical monitoring</t>
  </si>
  <si>
    <t>Cybertech Global</t>
  </si>
  <si>
    <t>https://www.cybertechisrael.com</t>
  </si>
  <si>
    <t>Cyber; government; critical infrastructure; investment</t>
  </si>
  <si>
    <t>Monitor selectively</t>
  </si>
  <si>
    <t>AIPT Global Defense &amp; Security Exhibition Database</t>
  </si>
  <si>
    <t>Generated: 2026-06-01 | Scope: major global defense, homeland security, cyber, DFIR, UAV, EW/SIGINT, naval and aerospace-defense exhibitions.</t>
  </si>
  <si>
    <t>Metric</t>
  </si>
  <si>
    <t>Value</t>
  </si>
  <si>
    <t>No. of Events</t>
  </si>
  <si>
    <t>Priority Action Guide</t>
  </si>
  <si>
    <t>Total events</t>
  </si>
  <si>
    <t>Score 5: Priority for AIPT; plan meetings / consider booth</t>
  </si>
  <si>
    <t>Priority score 5</t>
  </si>
  <si>
    <t>Score 4: Attend selectively; good supplier/channel scan</t>
  </si>
  <si>
    <t>Priority score 4+</t>
  </si>
  <si>
    <t>Score 3: Monitor / visitor only</t>
  </si>
  <si>
    <t>Vietnam events</t>
  </si>
  <si>
    <t>Score 1-2: Low priority or niche / verify before budgeting</t>
  </si>
  <si>
    <t>Singapore events</t>
  </si>
  <si>
    <t>Source</t>
  </si>
  <si>
    <t>URL</t>
  </si>
  <si>
    <t>Use in workbook</t>
  </si>
  <si>
    <t>Shephard Media Defense Event Calendar</t>
  </si>
  <si>
    <t>https://businessinfo.shephardmedia.com/show-news</t>
  </si>
  <si>
    <t>Cross-checking global defense event coverage</t>
  </si>
  <si>
    <t>Defense Advancement events calendar</t>
  </si>
  <si>
    <t>https://www.defenseadvancement.com/events/</t>
  </si>
  <si>
    <t>Cross-checking defense and military event listings</t>
  </si>
  <si>
    <t>DSA 2026 official page</t>
  </si>
  <si>
    <t>https://www.dsaexhibition.com/about-dsa-2026</t>
  </si>
  <si>
    <t>ASEAN defense/homeland security reference</t>
  </si>
  <si>
    <t>Defender Media 2026 event overview</t>
  </si>
  <si>
    <t>https://thedefender.media/en/2026/01/main-events-2026/</t>
  </si>
  <si>
    <t>Global event scale and notable events</t>
  </si>
  <si>
    <t>Event websites in database</t>
  </si>
  <si>
    <t>See Official Website column</t>
  </si>
  <si>
    <t>Primary URL for each row; verify exact dates before booking</t>
  </si>
  <si>
    <t>Purpose</t>
  </si>
  <si>
    <t>Database for tracking international defense, security, cyber, UAV, EW/SIGINT, digital forensics and homeland-security exhibitions relevant to AIPT.</t>
  </si>
  <si>
    <t>Important</t>
  </si>
  <si>
    <t>This is a comprehensive practical list of major recurring global events, not a legal/official exhaustive registry of every local/niche event worldwide.</t>
  </si>
  <si>
    <t>Date handling</t>
  </si>
  <si>
    <t>Exact dates can change each cycle. Use the Official Website / Source URL columns to verify before budgeting, visa planning, booth booking, or partner invitations.</t>
  </si>
  <si>
    <t>AIPT Fit Score</t>
  </si>
  <si>
    <t>5 = very relevant; 4 = relevant; 3 = monitor; 1-2 = low priority/niche.</t>
  </si>
  <si>
    <t>Recommended use</t>
  </si>
  <si>
    <t>Filter by Region, Main Category, Focus Tags, and AIPT Fit Score. Start planning 6-12 months before each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</si>
</sst>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08000"/>
      <name val="Calibri"/>
    </font>
    <font>
      <b/>
      <sz val="11"/>
      <color rgb="FF0000FF"/>
      <name val="Calibri"/>
    </font>
    <font>
      <b/>
      <sz val="16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Events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No. of Events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Dashboard!$D$5:$D$11</c:f>
              <c:strCache>
                <c:ptCount val="7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Global / Rotating</c:v>
                </c:pt>
                <c:pt idx="4">
                  <c:v>Latin America</c:v>
                </c:pt>
                <c:pt idx="5">
                  <c:v>Middle East</c:v>
                </c:pt>
                <c:pt idx="6">
                  <c:v>North America</c:v>
                </c:pt>
              </c:strCache>
            </c:strRef>
          </c:cat>
          <c:val>
            <c:numRef>
              <c:f>Dashboard!$E$5:$E$11</c:f>
              <c:numCache>
                <c:formatCode>General</c:formatCode>
                <c:ptCount val="7"/>
                <c:pt idx="0">
                  <c:v>5</c:v>
                </c:pt>
                <c:pt idx="1">
                  <c:v>45</c:v>
                </c:pt>
                <c:pt idx="2">
                  <c:v>33</c:v>
                </c:pt>
                <c:pt idx="3">
                  <c:v>4</c:v>
                </c:pt>
                <c:pt idx="4">
                  <c:v>7</c:v>
                </c:pt>
                <c:pt idx="5">
                  <c:v>15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55A-941C-BFD547C0F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hraininternationalairshow.com/" TargetMode="External"/><Relationship Id="rId21" Type="http://schemas.openxmlformats.org/officeDocument/2006/relationships/hyperlink" Target="https://www.govware.sg/" TargetMode="External"/><Relationship Id="rId42" Type="http://schemas.openxmlformats.org/officeDocument/2006/relationships/hyperlink" Target="https://www.indodefence.com/" TargetMode="External"/><Relationship Id="rId63" Type="http://schemas.openxmlformats.org/officeDocument/2006/relationships/hyperlink" Target="https://www.seconexpo.com/" TargetMode="External"/><Relationship Id="rId84" Type="http://schemas.openxmlformats.org/officeDocument/2006/relationships/hyperlink" Target="https://www.airshow.com.au/" TargetMode="External"/><Relationship Id="rId138" Type="http://schemas.openxmlformats.org/officeDocument/2006/relationships/hyperlink" Target="https://www.euronaval.fr/" TargetMode="External"/><Relationship Id="rId159" Type="http://schemas.openxmlformats.org/officeDocument/2006/relationships/hyperlink" Target="https://www.enforcetac.com/" TargetMode="External"/><Relationship Id="rId170" Type="http://schemas.openxmlformats.org/officeDocument/2006/relationships/hyperlink" Target="https://www.homsec.es/" TargetMode="External"/><Relationship Id="rId191" Type="http://schemas.openxmlformats.org/officeDocument/2006/relationships/hyperlink" Target="https://www.eweurope.com/" TargetMode="External"/><Relationship Id="rId205" Type="http://schemas.openxmlformats.org/officeDocument/2006/relationships/hyperlink" Target="https://www.westconference.org/" TargetMode="External"/><Relationship Id="rId226" Type="http://schemas.openxmlformats.org/officeDocument/2006/relationships/hyperlink" Target="https://www.bordersecurityexpo.com/" TargetMode="External"/><Relationship Id="rId247" Type="http://schemas.openxmlformats.org/officeDocument/2006/relationships/hyperlink" Target="https://www.sitdef.com/" TargetMode="External"/><Relationship Id="rId107" Type="http://schemas.openxmlformats.org/officeDocument/2006/relationships/hyperlink" Target="https://www.worlddefenseshow.com/" TargetMode="External"/><Relationship Id="rId11" Type="http://schemas.openxmlformats.org/officeDocument/2006/relationships/hyperlink" Target="https://firesafetyvietnam.com/" TargetMode="External"/><Relationship Id="rId32" Type="http://schemas.openxmlformats.org/officeDocument/2006/relationships/hyperlink" Target="https://www.limaexhibition.com/" TargetMode="External"/><Relationship Id="rId53" Type="http://schemas.openxmlformats.org/officeDocument/2006/relationships/hyperlink" Target="https://www.seecat.biz/en/" TargetMode="External"/><Relationship Id="rId74" Type="http://schemas.openxmlformats.org/officeDocument/2006/relationships/hyperlink" Target="https://www.police-expo.com.cn/" TargetMode="External"/><Relationship Id="rId128" Type="http://schemas.openxmlformats.org/officeDocument/2006/relationships/hyperlink" Target="https://www.shieldafrica.com/" TargetMode="External"/><Relationship Id="rId149" Type="http://schemas.openxmlformats.org/officeDocument/2006/relationships/hyperlink" Target="https://www.infosecurityeurope.com/" TargetMode="External"/><Relationship Id="rId5" Type="http://schemas.openxmlformats.org/officeDocument/2006/relationships/hyperlink" Target="https://secutechvietnam.tw.messefrankfurt.com/" TargetMode="External"/><Relationship Id="rId95" Type="http://schemas.openxmlformats.org/officeDocument/2006/relationships/hyperlink" Target="https://www.umexabudhabi.ae/" TargetMode="External"/><Relationship Id="rId160" Type="http://schemas.openxmlformats.org/officeDocument/2006/relationships/hyperlink" Target="https://www.enforcetac.com/" TargetMode="External"/><Relationship Id="rId181" Type="http://schemas.openxmlformats.org/officeDocument/2006/relationships/hyperlink" Target="https://www.bsda.ro/" TargetMode="External"/><Relationship Id="rId216" Type="http://schemas.openxmlformats.org/officeDocument/2006/relationships/hyperlink" Target="https://technosecurity.us/east/" TargetMode="External"/><Relationship Id="rId237" Type="http://schemas.openxmlformats.org/officeDocument/2006/relationships/hyperlink" Target="https://www.defenceandsecurity.ca/CANSEC/" TargetMode="External"/><Relationship Id="rId258" Type="http://schemas.openxmlformats.org/officeDocument/2006/relationships/hyperlink" Target="https://www.issworldtraining.com/" TargetMode="External"/><Relationship Id="rId22" Type="http://schemas.openxmlformats.org/officeDocument/2006/relationships/hyperlink" Target="https://www.govware.sg/" TargetMode="External"/><Relationship Id="rId43" Type="http://schemas.openxmlformats.org/officeDocument/2006/relationships/hyperlink" Target="https://www.cybersecurityindo.com/" TargetMode="External"/><Relationship Id="rId64" Type="http://schemas.openxmlformats.org/officeDocument/2006/relationships/hyperlink" Target="https://www.seconexpo.com/" TargetMode="External"/><Relationship Id="rId118" Type="http://schemas.openxmlformats.org/officeDocument/2006/relationships/hyperlink" Target="https://www.bahraininternationalairshow.com/" TargetMode="External"/><Relationship Id="rId139" Type="http://schemas.openxmlformats.org/officeDocument/2006/relationships/hyperlink" Target="https://www.sofins-2025.fr/" TargetMode="External"/><Relationship Id="rId85" Type="http://schemas.openxmlformats.org/officeDocument/2006/relationships/hyperlink" Target="https://www.indopacificexpo.com.au/" TargetMode="External"/><Relationship Id="rId150" Type="http://schemas.openxmlformats.org/officeDocument/2006/relationships/hyperlink" Target="https://www.infosecurityeurope.com/" TargetMode="External"/><Relationship Id="rId171" Type="http://schemas.openxmlformats.org/officeDocument/2006/relationships/hyperlink" Target="https://www.targikielce.pl/en/mspo" TargetMode="External"/><Relationship Id="rId192" Type="http://schemas.openxmlformats.org/officeDocument/2006/relationships/hyperlink" Target="https://www.eweurope.com/" TargetMode="External"/><Relationship Id="rId206" Type="http://schemas.openxmlformats.org/officeDocument/2006/relationships/hyperlink" Target="https://www.westconference.org/" TargetMode="External"/><Relationship Id="rId227" Type="http://schemas.openxmlformats.org/officeDocument/2006/relationships/hyperlink" Target="https://www.iscwest.com/" TargetMode="External"/><Relationship Id="rId248" Type="http://schemas.openxmlformats.org/officeDocument/2006/relationships/hyperlink" Target="https://www.sitdef.com/" TargetMode="External"/><Relationship Id="rId12" Type="http://schemas.openxmlformats.org/officeDocument/2006/relationships/hyperlink" Target="https://firesafetyvietnam.com/" TargetMode="External"/><Relationship Id="rId33" Type="http://schemas.openxmlformats.org/officeDocument/2006/relationships/hyperlink" Target="https://www.asiandefense.com/" TargetMode="External"/><Relationship Id="rId108" Type="http://schemas.openxmlformats.org/officeDocument/2006/relationships/hyperlink" Target="https://www.worlddefenseshow.com/" TargetMode="External"/><Relationship Id="rId129" Type="http://schemas.openxmlformats.org/officeDocument/2006/relationships/hyperlink" Target="https://www.defenseadvancement.com/events/sea-power-for-africa-symposium/" TargetMode="External"/><Relationship Id="rId54" Type="http://schemas.openxmlformats.org/officeDocument/2006/relationships/hyperlink" Target="https://www.seecat.biz/en/" TargetMode="External"/><Relationship Id="rId75" Type="http://schemas.openxmlformats.org/officeDocument/2006/relationships/hyperlink" Target="https://www.defexpo.gov.in/" TargetMode="External"/><Relationship Id="rId96" Type="http://schemas.openxmlformats.org/officeDocument/2006/relationships/hyperlink" Target="https://www.umexabudhabi.ae/" TargetMode="External"/><Relationship Id="rId140" Type="http://schemas.openxmlformats.org/officeDocument/2006/relationships/hyperlink" Target="https://www.sofins-2025.fr/" TargetMode="External"/><Relationship Id="rId161" Type="http://schemas.openxmlformats.org/officeDocument/2006/relationships/hyperlink" Target="https://www.security-essen.de/" TargetMode="External"/><Relationship Id="rId182" Type="http://schemas.openxmlformats.org/officeDocument/2006/relationships/hyperlink" Target="https://www.bsda.ro/" TargetMode="External"/><Relationship Id="rId217" Type="http://schemas.openxmlformats.org/officeDocument/2006/relationships/hyperlink" Target="https://technosecurity.us/west/" TargetMode="External"/><Relationship Id="rId6" Type="http://schemas.openxmlformats.org/officeDocument/2006/relationships/hyperlink" Target="https://secutechvietnam.tw.messefrankfurt.com/" TargetMode="External"/><Relationship Id="rId238" Type="http://schemas.openxmlformats.org/officeDocument/2006/relationships/hyperlink" Target="https://www.defenceandsecurity.ca/CANSEC/" TargetMode="External"/><Relationship Id="rId259" Type="http://schemas.openxmlformats.org/officeDocument/2006/relationships/hyperlink" Target="https://dfrws.org/" TargetMode="External"/><Relationship Id="rId23" Type="http://schemas.openxmlformats.org/officeDocument/2006/relationships/hyperlink" Target="https://www.cybersecurityworldasia.com/" TargetMode="External"/><Relationship Id="rId28" Type="http://schemas.openxmlformats.org/officeDocument/2006/relationships/hyperlink" Target="https://www.dsaexhibition.com/" TargetMode="External"/><Relationship Id="rId49" Type="http://schemas.openxmlformats.org/officeDocument/2006/relationships/hyperlink" Target="https://www.dsei-japan.com/" TargetMode="External"/><Relationship Id="rId114" Type="http://schemas.openxmlformats.org/officeDocument/2006/relationships/hyperlink" Target="https://www.sahaexpo.com/" TargetMode="External"/><Relationship Id="rId119" Type="http://schemas.openxmlformats.org/officeDocument/2006/relationships/hyperlink" Target="https://sofexjordan.com/" TargetMode="External"/><Relationship Id="rId44" Type="http://schemas.openxmlformats.org/officeDocument/2006/relationships/hyperlink" Target="https://www.cybersecurityindo.com/" TargetMode="External"/><Relationship Id="rId60" Type="http://schemas.openxmlformats.org/officeDocument/2006/relationships/hyperlink" Target="https://www.dxkorea.org/" TargetMode="External"/><Relationship Id="rId65" Type="http://schemas.openxmlformats.org/officeDocument/2006/relationships/hyperlink" Target="https://www.tadte.com.tw/" TargetMode="External"/><Relationship Id="rId81" Type="http://schemas.openxmlformats.org/officeDocument/2006/relationships/hyperlink" Target="https://www.indiasecurityexpo.com/" TargetMode="External"/><Relationship Id="rId86" Type="http://schemas.openxmlformats.org/officeDocument/2006/relationships/hyperlink" Target="https://www.indopacificexpo.com.au/" TargetMode="External"/><Relationship Id="rId130" Type="http://schemas.openxmlformats.org/officeDocument/2006/relationships/hyperlink" Target="https://www.defenseadvancement.com/events/sea-power-for-africa-symposium/" TargetMode="External"/><Relationship Id="rId135" Type="http://schemas.openxmlformats.org/officeDocument/2006/relationships/hyperlink" Target="https://www.siae.fr/en/" TargetMode="External"/><Relationship Id="rId151" Type="http://schemas.openxmlformats.org/officeDocument/2006/relationships/hyperlink" Target="https://www.dprte.co.uk/" TargetMode="External"/><Relationship Id="rId156" Type="http://schemas.openxmlformats.org/officeDocument/2006/relationships/hyperlink" Target="https://www.ila-berlin.de/en" TargetMode="External"/><Relationship Id="rId177" Type="http://schemas.openxmlformats.org/officeDocument/2006/relationships/hyperlink" Target="https://www.bvv.cz/en/idet" TargetMode="External"/><Relationship Id="rId198" Type="http://schemas.openxmlformats.org/officeDocument/2006/relationships/hyperlink" Target="https://meetings.ausa.org/annual/" TargetMode="External"/><Relationship Id="rId172" Type="http://schemas.openxmlformats.org/officeDocument/2006/relationships/hyperlink" Target="https://www.targikielce.pl/en/mspo" TargetMode="External"/><Relationship Id="rId193" Type="http://schemas.openxmlformats.org/officeDocument/2006/relationships/hyperlink" Target="https://world-border-congress.com/" TargetMode="External"/><Relationship Id="rId202" Type="http://schemas.openxmlformats.org/officeDocument/2006/relationships/hyperlink" Target="https://sofweek.org/" TargetMode="External"/><Relationship Id="rId207" Type="http://schemas.openxmlformats.org/officeDocument/2006/relationships/hyperlink" Target="https://www.spacesymposium.org/" TargetMode="External"/><Relationship Id="rId223" Type="http://schemas.openxmlformats.org/officeDocument/2006/relationships/hyperlink" Target="https://defcon.org/" TargetMode="External"/><Relationship Id="rId228" Type="http://schemas.openxmlformats.org/officeDocument/2006/relationships/hyperlink" Target="https://www.iscwest.com/" TargetMode="External"/><Relationship Id="rId244" Type="http://schemas.openxmlformats.org/officeDocument/2006/relationships/hyperlink" Target="https://www.laadexpo.com.br/" TargetMode="External"/><Relationship Id="rId249" Type="http://schemas.openxmlformats.org/officeDocument/2006/relationships/hyperlink" Target="https://www.expodefensa.com.co/" TargetMode="External"/><Relationship Id="rId13" Type="http://schemas.openxmlformats.org/officeDocument/2006/relationships/hyperlink" Target="https://www.singaporeairshow.com/" TargetMode="External"/><Relationship Id="rId18" Type="http://schemas.openxmlformats.org/officeDocument/2006/relationships/hyperlink" Target="https://www.milipolasiapacific.com/" TargetMode="External"/><Relationship Id="rId39" Type="http://schemas.openxmlformats.org/officeDocument/2006/relationships/hyperlink" Target="https://www.indodefence.com/" TargetMode="External"/><Relationship Id="rId109" Type="http://schemas.openxmlformats.org/officeDocument/2006/relationships/hyperlink" Target="https://saudiairshow.aero/" TargetMode="External"/><Relationship Id="rId260" Type="http://schemas.openxmlformats.org/officeDocument/2006/relationships/hyperlink" Target="https://dfrws.org/" TargetMode="External"/><Relationship Id="rId265" Type="http://schemas.openxmlformats.org/officeDocument/2006/relationships/vmlDrawing" Target="../drawings/vmlDrawing1.vml"/><Relationship Id="rId34" Type="http://schemas.openxmlformats.org/officeDocument/2006/relationships/hyperlink" Target="https://www.asiandefense.com/" TargetMode="External"/><Relationship Id="rId50" Type="http://schemas.openxmlformats.org/officeDocument/2006/relationships/hyperlink" Target="https://www.dsei-japan.com/" TargetMode="External"/><Relationship Id="rId55" Type="http://schemas.openxmlformats.org/officeDocument/2006/relationships/hyperlink" Target="https://messe.nikkei.co.jp/en/ss/" TargetMode="External"/><Relationship Id="rId76" Type="http://schemas.openxmlformats.org/officeDocument/2006/relationships/hyperlink" Target="https://www.defexpo.gov.in/" TargetMode="External"/><Relationship Id="rId97" Type="http://schemas.openxmlformats.org/officeDocument/2006/relationships/hyperlink" Target="https://www.isnrabudhabi.com/" TargetMode="External"/><Relationship Id="rId104" Type="http://schemas.openxmlformats.org/officeDocument/2006/relationships/hyperlink" Target="https://dimdex.com/" TargetMode="External"/><Relationship Id="rId120" Type="http://schemas.openxmlformats.org/officeDocument/2006/relationships/hyperlink" Target="https://sofexjordan.com/" TargetMode="External"/><Relationship Id="rId125" Type="http://schemas.openxmlformats.org/officeDocument/2006/relationships/hyperlink" Target="https://www.securex.co.za/" TargetMode="External"/><Relationship Id="rId141" Type="http://schemas.openxmlformats.org/officeDocument/2006/relationships/hyperlink" Target="https://www.dsei.co.uk/" TargetMode="External"/><Relationship Id="rId146" Type="http://schemas.openxmlformats.org/officeDocument/2006/relationships/hyperlink" Target="https://www.securityandpolicing.co.uk/" TargetMode="External"/><Relationship Id="rId167" Type="http://schemas.openxmlformats.org/officeDocument/2006/relationships/hyperlink" Target="https://www.feindef.com/" TargetMode="External"/><Relationship Id="rId188" Type="http://schemas.openxmlformats.org/officeDocument/2006/relationships/hyperlink" Target="https://www.nor-shipping.com/" TargetMode="External"/><Relationship Id="rId7" Type="http://schemas.openxmlformats.org/officeDocument/2006/relationships/hyperlink" Target="https://smartcityasia.vn/" TargetMode="External"/><Relationship Id="rId71" Type="http://schemas.openxmlformats.org/officeDocument/2006/relationships/hyperlink" Target="https://www.wuavf.com/" TargetMode="External"/><Relationship Id="rId92" Type="http://schemas.openxmlformats.org/officeDocument/2006/relationships/hyperlink" Target="https://www.idexuae.ae/" TargetMode="External"/><Relationship Id="rId162" Type="http://schemas.openxmlformats.org/officeDocument/2006/relationships/hyperlink" Target="https://www.security-essen.de/" TargetMode="External"/><Relationship Id="rId183" Type="http://schemas.openxmlformats.org/officeDocument/2006/relationships/hyperlink" Target="https://sajam.rs/en/fair/partner/" TargetMode="External"/><Relationship Id="rId213" Type="http://schemas.openxmlformats.org/officeDocument/2006/relationships/hyperlink" Target="https://iwceexpo.com/" TargetMode="External"/><Relationship Id="rId218" Type="http://schemas.openxmlformats.org/officeDocument/2006/relationships/hyperlink" Target="https://technosecurity.us/west/" TargetMode="External"/><Relationship Id="rId234" Type="http://schemas.openxmlformats.org/officeDocument/2006/relationships/hyperlink" Target="https://www.expouav.com/" TargetMode="External"/><Relationship Id="rId239" Type="http://schemas.openxmlformats.org/officeDocument/2006/relationships/hyperlink" Target="https://defsecatlantic.ca/" TargetMode="External"/><Relationship Id="rId2" Type="http://schemas.openxmlformats.org/officeDocument/2006/relationships/hyperlink" Target="https://vietnamdefence.vdi.org.vn/" TargetMode="External"/><Relationship Id="rId29" Type="http://schemas.openxmlformats.org/officeDocument/2006/relationships/hyperlink" Target="https://www.natsecasia.com/" TargetMode="External"/><Relationship Id="rId250" Type="http://schemas.openxmlformats.org/officeDocument/2006/relationships/hyperlink" Target="https://www.expodefensa.com.co/" TargetMode="External"/><Relationship Id="rId255" Type="http://schemas.openxmlformats.org/officeDocument/2006/relationships/hyperlink" Target="https://www.exposeguridadmexico.com/" TargetMode="External"/><Relationship Id="rId24" Type="http://schemas.openxmlformats.org/officeDocument/2006/relationships/hyperlink" Target="https://www.cybersecurityworldasia.com/" TargetMode="External"/><Relationship Id="rId40" Type="http://schemas.openxmlformats.org/officeDocument/2006/relationships/hyperlink" Target="https://www.indodefence.com/" TargetMode="External"/><Relationship Id="rId45" Type="http://schemas.openxmlformats.org/officeDocument/2006/relationships/hyperlink" Target="https://www.adas.ph/" TargetMode="External"/><Relationship Id="rId66" Type="http://schemas.openxmlformats.org/officeDocument/2006/relationships/hyperlink" Target="https://www.tadte.com.tw/" TargetMode="External"/><Relationship Id="rId87" Type="http://schemas.openxmlformats.org/officeDocument/2006/relationships/hyperlink" Target="https://www.landforces.com.au/" TargetMode="External"/><Relationship Id="rId110" Type="http://schemas.openxmlformats.org/officeDocument/2006/relationships/hyperlink" Target="https://saudiairshow.aero/" TargetMode="External"/><Relationship Id="rId115" Type="http://schemas.openxmlformats.org/officeDocument/2006/relationships/hyperlink" Target="https://eurasiaairshow.eu/" TargetMode="External"/><Relationship Id="rId131" Type="http://schemas.openxmlformats.org/officeDocument/2006/relationships/hyperlink" Target="https://www.eurosatory.com/" TargetMode="External"/><Relationship Id="rId136" Type="http://schemas.openxmlformats.org/officeDocument/2006/relationships/hyperlink" Target="https://www.siae.fr/en/" TargetMode="External"/><Relationship Id="rId157" Type="http://schemas.openxmlformats.org/officeDocument/2006/relationships/hyperlink" Target="https://www.gpec.de/" TargetMode="External"/><Relationship Id="rId178" Type="http://schemas.openxmlformats.org/officeDocument/2006/relationships/hyperlink" Target="https://www.bvv.cz/en/idet" TargetMode="External"/><Relationship Id="rId61" Type="http://schemas.openxmlformats.org/officeDocument/2006/relationships/hyperlink" Target="https://www.madex.co.kr/" TargetMode="External"/><Relationship Id="rId82" Type="http://schemas.openxmlformats.org/officeDocument/2006/relationships/hyperlink" Target="https://www.indiasecurityexpo.com/" TargetMode="External"/><Relationship Id="rId152" Type="http://schemas.openxmlformats.org/officeDocument/2006/relationships/hyperlink" Target="https://www.dprte.co.uk/" TargetMode="External"/><Relationship Id="rId173" Type="http://schemas.openxmlformats.org/officeDocument/2006/relationships/hyperlink" Target="https://www.baltmilitary.pl/" TargetMode="External"/><Relationship Id="rId194" Type="http://schemas.openxmlformats.org/officeDocument/2006/relationships/hyperlink" Target="https://world-border-congress.com/" TargetMode="External"/><Relationship Id="rId199" Type="http://schemas.openxmlformats.org/officeDocument/2006/relationships/hyperlink" Target="https://seaairspace.org/" TargetMode="External"/><Relationship Id="rId203" Type="http://schemas.openxmlformats.org/officeDocument/2006/relationships/hyperlink" Target="https://www.marinemilitaryexpos.com/" TargetMode="External"/><Relationship Id="rId208" Type="http://schemas.openxmlformats.org/officeDocument/2006/relationships/hyperlink" Target="https://www.spacesymposium.org/" TargetMode="External"/><Relationship Id="rId229" Type="http://schemas.openxmlformats.org/officeDocument/2006/relationships/hyperlink" Target="https://www.gsx.org/" TargetMode="External"/><Relationship Id="rId19" Type="http://schemas.openxmlformats.org/officeDocument/2006/relationships/hyperlink" Target="https://www.issworldtraining.com/" TargetMode="External"/><Relationship Id="rId224" Type="http://schemas.openxmlformats.org/officeDocument/2006/relationships/hyperlink" Target="https://defcon.org/" TargetMode="External"/><Relationship Id="rId240" Type="http://schemas.openxmlformats.org/officeDocument/2006/relationships/hyperlink" Target="https://defsecatlantic.ca/" TargetMode="External"/><Relationship Id="rId245" Type="http://schemas.openxmlformats.org/officeDocument/2006/relationships/hyperlink" Target="https://www.fidae.cl/" TargetMode="External"/><Relationship Id="rId261" Type="http://schemas.openxmlformats.org/officeDocument/2006/relationships/hyperlink" Target="https://icdf2c.org/" TargetMode="External"/><Relationship Id="rId266" Type="http://schemas.openxmlformats.org/officeDocument/2006/relationships/comments" Target="../comments1.xml"/><Relationship Id="rId14" Type="http://schemas.openxmlformats.org/officeDocument/2006/relationships/hyperlink" Target="https://www.singaporeairshow.com/" TargetMode="External"/><Relationship Id="rId30" Type="http://schemas.openxmlformats.org/officeDocument/2006/relationships/hyperlink" Target="https://www.natsecasia.com/" TargetMode="External"/><Relationship Id="rId35" Type="http://schemas.openxmlformats.org/officeDocument/2006/relationships/hyperlink" Target="https://cybersec-asia.net/" TargetMode="External"/><Relationship Id="rId56" Type="http://schemas.openxmlformats.org/officeDocument/2006/relationships/hyperlink" Target="https://messe.nikkei.co.jp/en/ss/" TargetMode="External"/><Relationship Id="rId77" Type="http://schemas.openxmlformats.org/officeDocument/2006/relationships/hyperlink" Target="https://aeroindia.gov.in/" TargetMode="External"/><Relationship Id="rId100" Type="http://schemas.openxmlformats.org/officeDocument/2006/relationships/hyperlink" Target="https://www.dubaiairshow.aero/" TargetMode="External"/><Relationship Id="rId105" Type="http://schemas.openxmlformats.org/officeDocument/2006/relationships/hyperlink" Target="https://www.milipolqatar.com/" TargetMode="External"/><Relationship Id="rId126" Type="http://schemas.openxmlformats.org/officeDocument/2006/relationships/hyperlink" Target="https://www.securex.co.za/" TargetMode="External"/><Relationship Id="rId147" Type="http://schemas.openxmlformats.org/officeDocument/2006/relationships/hyperlink" Target="https://www.internationalsecurityexpo.com/" TargetMode="External"/><Relationship Id="rId168" Type="http://schemas.openxmlformats.org/officeDocument/2006/relationships/hyperlink" Target="https://www.feindef.com/" TargetMode="External"/><Relationship Id="rId8" Type="http://schemas.openxmlformats.org/officeDocument/2006/relationships/hyperlink" Target="https://smartcityasia.vn/" TargetMode="External"/><Relationship Id="rId51" Type="http://schemas.openxmlformats.org/officeDocument/2006/relationships/hyperlink" Target="https://ssl.japan-drone.com/en_la/" TargetMode="External"/><Relationship Id="rId72" Type="http://schemas.openxmlformats.org/officeDocument/2006/relationships/hyperlink" Target="https://www.wuavf.com/" TargetMode="External"/><Relationship Id="rId93" Type="http://schemas.openxmlformats.org/officeDocument/2006/relationships/hyperlink" Target="https://www.navdex.ae/" TargetMode="External"/><Relationship Id="rId98" Type="http://schemas.openxmlformats.org/officeDocument/2006/relationships/hyperlink" Target="https://www.isnrabudhabi.com/" TargetMode="External"/><Relationship Id="rId121" Type="http://schemas.openxmlformats.org/officeDocument/2006/relationships/hyperlink" Target="https://www.egyptdefenceexpo.com/" TargetMode="External"/><Relationship Id="rId142" Type="http://schemas.openxmlformats.org/officeDocument/2006/relationships/hyperlink" Target="https://www.dsei.co.uk/" TargetMode="External"/><Relationship Id="rId163" Type="http://schemas.openxmlformats.org/officeDocument/2006/relationships/hyperlink" Target="https://www.afcea.de/" TargetMode="External"/><Relationship Id="rId184" Type="http://schemas.openxmlformats.org/officeDocument/2006/relationships/hyperlink" Target="https://sajam.rs/en/fair/partner/" TargetMode="External"/><Relationship Id="rId189" Type="http://schemas.openxmlformats.org/officeDocument/2006/relationships/hyperlink" Target="https://www.crows.org/page/AOCEurope" TargetMode="External"/><Relationship Id="rId219" Type="http://schemas.openxmlformats.org/officeDocument/2006/relationships/hyperlink" Target="https://www.rsaconference.com/" TargetMode="External"/><Relationship Id="rId3" Type="http://schemas.openxmlformats.org/officeDocument/2006/relationships/hyperlink" Target="https://vietnamsecuritysummit.com.vn/" TargetMode="External"/><Relationship Id="rId214" Type="http://schemas.openxmlformats.org/officeDocument/2006/relationships/hyperlink" Target="https://iwceexpo.com/" TargetMode="External"/><Relationship Id="rId230" Type="http://schemas.openxmlformats.org/officeDocument/2006/relationships/hyperlink" Target="https://www.gsx.org/" TargetMode="External"/><Relationship Id="rId235" Type="http://schemas.openxmlformats.org/officeDocument/2006/relationships/hyperlink" Target="https://shotshow.org/" TargetMode="External"/><Relationship Id="rId251" Type="http://schemas.openxmlformats.org/officeDocument/2006/relationships/hyperlink" Target="https://www.f-aircolombia.com.co/" TargetMode="External"/><Relationship Id="rId256" Type="http://schemas.openxmlformats.org/officeDocument/2006/relationships/hyperlink" Target="https://www.exposeguridadmexico.com/" TargetMode="External"/><Relationship Id="rId25" Type="http://schemas.openxmlformats.org/officeDocument/2006/relationships/hyperlink" Target="https://www.blackhat.com/asia-26/" TargetMode="External"/><Relationship Id="rId46" Type="http://schemas.openxmlformats.org/officeDocument/2006/relationships/hyperlink" Target="https://www.adas.ph/" TargetMode="External"/><Relationship Id="rId67" Type="http://schemas.openxmlformats.org/officeDocument/2006/relationships/hyperlink" Target="https://www.airshow.com.cn/en/" TargetMode="External"/><Relationship Id="rId116" Type="http://schemas.openxmlformats.org/officeDocument/2006/relationships/hyperlink" Target="https://eurasiaairshow.eu/" TargetMode="External"/><Relationship Id="rId137" Type="http://schemas.openxmlformats.org/officeDocument/2006/relationships/hyperlink" Target="https://www.euronaval.fr/" TargetMode="External"/><Relationship Id="rId158" Type="http://schemas.openxmlformats.org/officeDocument/2006/relationships/hyperlink" Target="https://www.gpec.de/" TargetMode="External"/><Relationship Id="rId20" Type="http://schemas.openxmlformats.org/officeDocument/2006/relationships/hyperlink" Target="https://www.issworldtraining.com/" TargetMode="External"/><Relationship Id="rId41" Type="http://schemas.openxmlformats.org/officeDocument/2006/relationships/hyperlink" Target="https://www.indodefence.com/" TargetMode="External"/><Relationship Id="rId62" Type="http://schemas.openxmlformats.org/officeDocument/2006/relationships/hyperlink" Target="https://www.madex.co.kr/" TargetMode="External"/><Relationship Id="rId83" Type="http://schemas.openxmlformats.org/officeDocument/2006/relationships/hyperlink" Target="https://www.airshow.com.au/" TargetMode="External"/><Relationship Id="rId88" Type="http://schemas.openxmlformats.org/officeDocument/2006/relationships/hyperlink" Target="https://www.landforces.com.au/" TargetMode="External"/><Relationship Id="rId111" Type="http://schemas.openxmlformats.org/officeDocument/2006/relationships/hyperlink" Target="https://idef.com.tr/" TargetMode="External"/><Relationship Id="rId132" Type="http://schemas.openxmlformats.org/officeDocument/2006/relationships/hyperlink" Target="https://www.eurosatory.com/" TargetMode="External"/><Relationship Id="rId153" Type="http://schemas.openxmlformats.org/officeDocument/2006/relationships/hyperlink" Target="https://www.cyberuk.uk/" TargetMode="External"/><Relationship Id="rId174" Type="http://schemas.openxmlformats.org/officeDocument/2006/relationships/hyperlink" Target="https://www.baltmilitary.pl/" TargetMode="External"/><Relationship Id="rId179" Type="http://schemas.openxmlformats.org/officeDocument/2006/relationships/hyperlink" Target="https://www.hemusbg.org/" TargetMode="External"/><Relationship Id="rId195" Type="http://schemas.openxmlformats.org/officeDocument/2006/relationships/hyperlink" Target="https://securityconference.org/" TargetMode="External"/><Relationship Id="rId209" Type="http://schemas.openxmlformats.org/officeDocument/2006/relationships/hyperlink" Target="https://www.afa.org/air-space-cyber-conference/" TargetMode="External"/><Relationship Id="rId190" Type="http://schemas.openxmlformats.org/officeDocument/2006/relationships/hyperlink" Target="https://www.crows.org/page/AOCEurope" TargetMode="External"/><Relationship Id="rId204" Type="http://schemas.openxmlformats.org/officeDocument/2006/relationships/hyperlink" Target="https://www.marinemilitaryexpos.com/" TargetMode="External"/><Relationship Id="rId220" Type="http://schemas.openxmlformats.org/officeDocument/2006/relationships/hyperlink" Target="https://www.rsaconference.com/" TargetMode="External"/><Relationship Id="rId225" Type="http://schemas.openxmlformats.org/officeDocument/2006/relationships/hyperlink" Target="https://www.bordersecurityexpo.com/" TargetMode="External"/><Relationship Id="rId241" Type="http://schemas.openxmlformats.org/officeDocument/2006/relationships/hyperlink" Target="https://www.defenceandsecurity.ca/SecureTech/" TargetMode="External"/><Relationship Id="rId246" Type="http://schemas.openxmlformats.org/officeDocument/2006/relationships/hyperlink" Target="https://www.fidae.cl/" TargetMode="External"/><Relationship Id="rId15" Type="http://schemas.openxmlformats.org/officeDocument/2006/relationships/hyperlink" Target="https://www.imdexasia.com/" TargetMode="External"/><Relationship Id="rId36" Type="http://schemas.openxmlformats.org/officeDocument/2006/relationships/hyperlink" Target="https://cybersec-asia.net/" TargetMode="External"/><Relationship Id="rId57" Type="http://schemas.openxmlformats.org/officeDocument/2006/relationships/hyperlink" Target="https://www.seouladex.com/" TargetMode="External"/><Relationship Id="rId106" Type="http://schemas.openxmlformats.org/officeDocument/2006/relationships/hyperlink" Target="https://www.milipolqatar.com/" TargetMode="External"/><Relationship Id="rId127" Type="http://schemas.openxmlformats.org/officeDocument/2006/relationships/hyperlink" Target="https://www.shieldafrica.com/" TargetMode="External"/><Relationship Id="rId262" Type="http://schemas.openxmlformats.org/officeDocument/2006/relationships/hyperlink" Target="https://icdf2c.org/" TargetMode="External"/><Relationship Id="rId10" Type="http://schemas.openxmlformats.org/officeDocument/2006/relationships/hyperlink" Target="https://ictcomm.vn/" TargetMode="External"/><Relationship Id="rId31" Type="http://schemas.openxmlformats.org/officeDocument/2006/relationships/hyperlink" Target="https://www.limaexhibition.com/" TargetMode="External"/><Relationship Id="rId52" Type="http://schemas.openxmlformats.org/officeDocument/2006/relationships/hyperlink" Target="https://ssl.japan-drone.com/en_la/" TargetMode="External"/><Relationship Id="rId73" Type="http://schemas.openxmlformats.org/officeDocument/2006/relationships/hyperlink" Target="https://www.police-expo.com.cn/" TargetMode="External"/><Relationship Id="rId78" Type="http://schemas.openxmlformats.org/officeDocument/2006/relationships/hyperlink" Target="https://aeroindia.gov.in/" TargetMode="External"/><Relationship Id="rId94" Type="http://schemas.openxmlformats.org/officeDocument/2006/relationships/hyperlink" Target="https://www.navdex.ae/" TargetMode="External"/><Relationship Id="rId99" Type="http://schemas.openxmlformats.org/officeDocument/2006/relationships/hyperlink" Target="https://www.dubaiairshow.aero/" TargetMode="External"/><Relationship Id="rId101" Type="http://schemas.openxmlformats.org/officeDocument/2006/relationships/hyperlink" Target="https://intersec.ae.messefrankfurt.com/" TargetMode="External"/><Relationship Id="rId122" Type="http://schemas.openxmlformats.org/officeDocument/2006/relationships/hyperlink" Target="https://www.egyptdefenceexpo.com/" TargetMode="External"/><Relationship Id="rId143" Type="http://schemas.openxmlformats.org/officeDocument/2006/relationships/hyperlink" Target="https://www.farnboroughairshow.com/" TargetMode="External"/><Relationship Id="rId148" Type="http://schemas.openxmlformats.org/officeDocument/2006/relationships/hyperlink" Target="https://www.internationalsecurityexpo.com/" TargetMode="External"/><Relationship Id="rId164" Type="http://schemas.openxmlformats.org/officeDocument/2006/relationships/hyperlink" Target="https://www.afcea.de/" TargetMode="External"/><Relationship Id="rId169" Type="http://schemas.openxmlformats.org/officeDocument/2006/relationships/hyperlink" Target="https://www.homsec.es/" TargetMode="External"/><Relationship Id="rId185" Type="http://schemas.openxmlformats.org/officeDocument/2006/relationships/hyperlink" Target="https://www.homelandsecurityexpo.com/" TargetMode="External"/><Relationship Id="rId4" Type="http://schemas.openxmlformats.org/officeDocument/2006/relationships/hyperlink" Target="https://vietnamsecuritysummit.com.vn/" TargetMode="External"/><Relationship Id="rId9" Type="http://schemas.openxmlformats.org/officeDocument/2006/relationships/hyperlink" Target="https://ictcomm.vn/" TargetMode="External"/><Relationship Id="rId180" Type="http://schemas.openxmlformats.org/officeDocument/2006/relationships/hyperlink" Target="https://www.hemusbg.org/" TargetMode="External"/><Relationship Id="rId210" Type="http://schemas.openxmlformats.org/officeDocument/2006/relationships/hyperlink" Target="https://www.afa.org/air-space-cyber-conference/" TargetMode="External"/><Relationship Id="rId215" Type="http://schemas.openxmlformats.org/officeDocument/2006/relationships/hyperlink" Target="https://technosecurity.us/east/" TargetMode="External"/><Relationship Id="rId236" Type="http://schemas.openxmlformats.org/officeDocument/2006/relationships/hyperlink" Target="https://shotshow.org/" TargetMode="External"/><Relationship Id="rId257" Type="http://schemas.openxmlformats.org/officeDocument/2006/relationships/hyperlink" Target="https://www.issworldtraining.com/" TargetMode="External"/><Relationship Id="rId26" Type="http://schemas.openxmlformats.org/officeDocument/2006/relationships/hyperlink" Target="https://www.blackhat.com/asia-26/" TargetMode="External"/><Relationship Id="rId231" Type="http://schemas.openxmlformats.org/officeDocument/2006/relationships/hyperlink" Target="https://www.xponential.org/" TargetMode="External"/><Relationship Id="rId252" Type="http://schemas.openxmlformats.org/officeDocument/2006/relationships/hyperlink" Target="https://www.f-aircolombia.com.co/" TargetMode="External"/><Relationship Id="rId47" Type="http://schemas.openxmlformats.org/officeDocument/2006/relationships/hyperlink" Target="https://www.bridex.com.bn/" TargetMode="External"/><Relationship Id="rId68" Type="http://schemas.openxmlformats.org/officeDocument/2006/relationships/hyperlink" Target="https://www.airshow.com.cn/en/" TargetMode="External"/><Relationship Id="rId89" Type="http://schemas.openxmlformats.org/officeDocument/2006/relationships/hyperlink" Target="https://www.iods.com.au/" TargetMode="External"/><Relationship Id="rId112" Type="http://schemas.openxmlformats.org/officeDocument/2006/relationships/hyperlink" Target="https://idef.com.tr/" TargetMode="External"/><Relationship Id="rId133" Type="http://schemas.openxmlformats.org/officeDocument/2006/relationships/hyperlink" Target="https://www.milipol.com/" TargetMode="External"/><Relationship Id="rId154" Type="http://schemas.openxmlformats.org/officeDocument/2006/relationships/hyperlink" Target="https://www.cyberuk.uk/" TargetMode="External"/><Relationship Id="rId175" Type="http://schemas.openxmlformats.org/officeDocument/2006/relationships/hyperlink" Target="https://defea.gr/" TargetMode="External"/><Relationship Id="rId196" Type="http://schemas.openxmlformats.org/officeDocument/2006/relationships/hyperlink" Target="https://securityconference.org/" TargetMode="External"/><Relationship Id="rId200" Type="http://schemas.openxmlformats.org/officeDocument/2006/relationships/hyperlink" Target="https://seaairspace.org/" TargetMode="External"/><Relationship Id="rId16" Type="http://schemas.openxmlformats.org/officeDocument/2006/relationships/hyperlink" Target="https://www.imdexasia.com/" TargetMode="External"/><Relationship Id="rId221" Type="http://schemas.openxmlformats.org/officeDocument/2006/relationships/hyperlink" Target="https://www.blackhat.com/" TargetMode="External"/><Relationship Id="rId242" Type="http://schemas.openxmlformats.org/officeDocument/2006/relationships/hyperlink" Target="https://www.defenceandsecurity.ca/SecureTech/" TargetMode="External"/><Relationship Id="rId263" Type="http://schemas.openxmlformats.org/officeDocument/2006/relationships/hyperlink" Target="https://www.cybertechisrael.com/" TargetMode="External"/><Relationship Id="rId37" Type="http://schemas.openxmlformats.org/officeDocument/2006/relationships/hyperlink" Target="https://www.indodefence.com/" TargetMode="External"/><Relationship Id="rId58" Type="http://schemas.openxmlformats.org/officeDocument/2006/relationships/hyperlink" Target="https://www.seouladex.com/" TargetMode="External"/><Relationship Id="rId79" Type="http://schemas.openxmlformats.org/officeDocument/2006/relationships/hyperlink" Target="https://www.milipolindia.com/" TargetMode="External"/><Relationship Id="rId102" Type="http://schemas.openxmlformats.org/officeDocument/2006/relationships/hyperlink" Target="https://intersec.ae.messefrankfurt.com/" TargetMode="External"/><Relationship Id="rId123" Type="http://schemas.openxmlformats.org/officeDocument/2006/relationships/hyperlink" Target="https://www.aadexpo.co.za/" TargetMode="External"/><Relationship Id="rId144" Type="http://schemas.openxmlformats.org/officeDocument/2006/relationships/hyperlink" Target="https://www.farnboroughairshow.com/" TargetMode="External"/><Relationship Id="rId90" Type="http://schemas.openxmlformats.org/officeDocument/2006/relationships/hyperlink" Target="https://www.iods.com.au/" TargetMode="External"/><Relationship Id="rId165" Type="http://schemas.openxmlformats.org/officeDocument/2006/relationships/hyperlink" Target="https://www.dsei-germany.com/" TargetMode="External"/><Relationship Id="rId186" Type="http://schemas.openxmlformats.org/officeDocument/2006/relationships/hyperlink" Target="https://www.homelandsecurityexpo.com/" TargetMode="External"/><Relationship Id="rId211" Type="http://schemas.openxmlformats.org/officeDocument/2006/relationships/hyperlink" Target="https://www.crows.org/" TargetMode="External"/><Relationship Id="rId232" Type="http://schemas.openxmlformats.org/officeDocument/2006/relationships/hyperlink" Target="https://www.xponential.org/" TargetMode="External"/><Relationship Id="rId253" Type="http://schemas.openxmlformats.org/officeDocument/2006/relationships/hyperlink" Target="https://www.f-airmexico.com.mx/" TargetMode="External"/><Relationship Id="rId27" Type="http://schemas.openxmlformats.org/officeDocument/2006/relationships/hyperlink" Target="https://www.dsaexhibition.com/" TargetMode="External"/><Relationship Id="rId48" Type="http://schemas.openxmlformats.org/officeDocument/2006/relationships/hyperlink" Target="https://www.bridex.com.bn/" TargetMode="External"/><Relationship Id="rId69" Type="http://schemas.openxmlformats.org/officeDocument/2006/relationships/hyperlink" Target="https://www.cpse.com.cn/" TargetMode="External"/><Relationship Id="rId113" Type="http://schemas.openxmlformats.org/officeDocument/2006/relationships/hyperlink" Target="https://www.sahaexpo.com/" TargetMode="External"/><Relationship Id="rId134" Type="http://schemas.openxmlformats.org/officeDocument/2006/relationships/hyperlink" Target="https://www.milipol.com/" TargetMode="External"/><Relationship Id="rId80" Type="http://schemas.openxmlformats.org/officeDocument/2006/relationships/hyperlink" Target="https://www.milipolindia.com/" TargetMode="External"/><Relationship Id="rId155" Type="http://schemas.openxmlformats.org/officeDocument/2006/relationships/hyperlink" Target="https://www.ila-berlin.de/en" TargetMode="External"/><Relationship Id="rId176" Type="http://schemas.openxmlformats.org/officeDocument/2006/relationships/hyperlink" Target="https://defea.gr/" TargetMode="External"/><Relationship Id="rId197" Type="http://schemas.openxmlformats.org/officeDocument/2006/relationships/hyperlink" Target="https://meetings.ausa.org/annual/" TargetMode="External"/><Relationship Id="rId201" Type="http://schemas.openxmlformats.org/officeDocument/2006/relationships/hyperlink" Target="https://sofweek.org/" TargetMode="External"/><Relationship Id="rId222" Type="http://schemas.openxmlformats.org/officeDocument/2006/relationships/hyperlink" Target="https://www.blackhat.com/" TargetMode="External"/><Relationship Id="rId243" Type="http://schemas.openxmlformats.org/officeDocument/2006/relationships/hyperlink" Target="https://www.laadexpo.com.br/" TargetMode="External"/><Relationship Id="rId264" Type="http://schemas.openxmlformats.org/officeDocument/2006/relationships/hyperlink" Target="https://www.cybertechisrael.com/" TargetMode="External"/><Relationship Id="rId17" Type="http://schemas.openxmlformats.org/officeDocument/2006/relationships/hyperlink" Target="https://www.milipolasiapacific.com/" TargetMode="External"/><Relationship Id="rId38" Type="http://schemas.openxmlformats.org/officeDocument/2006/relationships/hyperlink" Target="https://www.indodefence.com/" TargetMode="External"/><Relationship Id="rId59" Type="http://schemas.openxmlformats.org/officeDocument/2006/relationships/hyperlink" Target="https://www.dxkorea.org/" TargetMode="External"/><Relationship Id="rId103" Type="http://schemas.openxmlformats.org/officeDocument/2006/relationships/hyperlink" Target="https://dimdex.com/" TargetMode="External"/><Relationship Id="rId124" Type="http://schemas.openxmlformats.org/officeDocument/2006/relationships/hyperlink" Target="https://www.aadexpo.co.za/" TargetMode="External"/><Relationship Id="rId70" Type="http://schemas.openxmlformats.org/officeDocument/2006/relationships/hyperlink" Target="https://www.cpse.com.cn/" TargetMode="External"/><Relationship Id="rId91" Type="http://schemas.openxmlformats.org/officeDocument/2006/relationships/hyperlink" Target="https://www.idexuae.ae/" TargetMode="External"/><Relationship Id="rId145" Type="http://schemas.openxmlformats.org/officeDocument/2006/relationships/hyperlink" Target="https://www.securityandpolicing.co.uk/" TargetMode="External"/><Relationship Id="rId166" Type="http://schemas.openxmlformats.org/officeDocument/2006/relationships/hyperlink" Target="https://www.dsei-germany.com/" TargetMode="External"/><Relationship Id="rId187" Type="http://schemas.openxmlformats.org/officeDocument/2006/relationships/hyperlink" Target="https://www.nor-shipping.com/" TargetMode="External"/><Relationship Id="rId1" Type="http://schemas.openxmlformats.org/officeDocument/2006/relationships/hyperlink" Target="https://vietnamdefence.vdi.org.vn/" TargetMode="External"/><Relationship Id="rId212" Type="http://schemas.openxmlformats.org/officeDocument/2006/relationships/hyperlink" Target="https://www.crows.org/" TargetMode="External"/><Relationship Id="rId233" Type="http://schemas.openxmlformats.org/officeDocument/2006/relationships/hyperlink" Target="https://www.expouav.com/" TargetMode="External"/><Relationship Id="rId254" Type="http://schemas.openxmlformats.org/officeDocument/2006/relationships/hyperlink" Target="https://www.f-airmexico.com.mx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maexhibition.com/" TargetMode="External"/><Relationship Id="rId13" Type="http://schemas.openxmlformats.org/officeDocument/2006/relationships/hyperlink" Target="https://www.idexuae.ae/" TargetMode="External"/><Relationship Id="rId18" Type="http://schemas.openxmlformats.org/officeDocument/2006/relationships/hyperlink" Target="https://www.milipol.com/" TargetMode="External"/><Relationship Id="rId26" Type="http://schemas.openxmlformats.org/officeDocument/2006/relationships/hyperlink" Target="https://seaairspace.org/" TargetMode="External"/><Relationship Id="rId3" Type="http://schemas.openxmlformats.org/officeDocument/2006/relationships/hyperlink" Target="https://www.imdexasia.com/" TargetMode="External"/><Relationship Id="rId21" Type="http://schemas.openxmlformats.org/officeDocument/2006/relationships/hyperlink" Target="https://www.securityandpolicing.co.uk/" TargetMode="External"/><Relationship Id="rId34" Type="http://schemas.openxmlformats.org/officeDocument/2006/relationships/hyperlink" Target="https://www.issworldtraining.com/" TargetMode="External"/><Relationship Id="rId7" Type="http://schemas.openxmlformats.org/officeDocument/2006/relationships/hyperlink" Target="https://www.natsecasia.com/" TargetMode="External"/><Relationship Id="rId12" Type="http://schemas.openxmlformats.org/officeDocument/2006/relationships/hyperlink" Target="https://www.seouladex.com/" TargetMode="External"/><Relationship Id="rId17" Type="http://schemas.openxmlformats.org/officeDocument/2006/relationships/hyperlink" Target="https://www.eurosatory.com/" TargetMode="External"/><Relationship Id="rId25" Type="http://schemas.openxmlformats.org/officeDocument/2006/relationships/hyperlink" Target="https://meetings.ausa.org/annual/" TargetMode="External"/><Relationship Id="rId33" Type="http://schemas.openxmlformats.org/officeDocument/2006/relationships/hyperlink" Target="https://www.laadexpo.com.br/" TargetMode="External"/><Relationship Id="rId2" Type="http://schemas.openxmlformats.org/officeDocument/2006/relationships/hyperlink" Target="https://www.singaporeairshow.com/" TargetMode="External"/><Relationship Id="rId16" Type="http://schemas.openxmlformats.org/officeDocument/2006/relationships/hyperlink" Target="https://idef.com.tr/" TargetMode="External"/><Relationship Id="rId20" Type="http://schemas.openxmlformats.org/officeDocument/2006/relationships/hyperlink" Target="https://www.dsei.co.uk/" TargetMode="External"/><Relationship Id="rId29" Type="http://schemas.openxmlformats.org/officeDocument/2006/relationships/hyperlink" Target="https://technosecurity.us/east/" TargetMode="External"/><Relationship Id="rId1" Type="http://schemas.openxmlformats.org/officeDocument/2006/relationships/hyperlink" Target="https://vietnamdefence.vdi.org.vn/" TargetMode="External"/><Relationship Id="rId6" Type="http://schemas.openxmlformats.org/officeDocument/2006/relationships/hyperlink" Target="https://www.dsaexhibition.com/" TargetMode="External"/><Relationship Id="rId11" Type="http://schemas.openxmlformats.org/officeDocument/2006/relationships/hyperlink" Target="https://www.dsei-japan.com/" TargetMode="External"/><Relationship Id="rId24" Type="http://schemas.openxmlformats.org/officeDocument/2006/relationships/hyperlink" Target="https://www.eweurope.com/" TargetMode="External"/><Relationship Id="rId32" Type="http://schemas.openxmlformats.org/officeDocument/2006/relationships/hyperlink" Target="https://www.xponential.org/" TargetMode="External"/><Relationship Id="rId5" Type="http://schemas.openxmlformats.org/officeDocument/2006/relationships/hyperlink" Target="https://www.issworldtraining.com/" TargetMode="External"/><Relationship Id="rId15" Type="http://schemas.openxmlformats.org/officeDocument/2006/relationships/hyperlink" Target="https://www.worlddefenseshow.com/" TargetMode="External"/><Relationship Id="rId23" Type="http://schemas.openxmlformats.org/officeDocument/2006/relationships/hyperlink" Target="https://www.crows.org/page/AOCEurope" TargetMode="External"/><Relationship Id="rId28" Type="http://schemas.openxmlformats.org/officeDocument/2006/relationships/hyperlink" Target="https://www.crows.org/" TargetMode="External"/><Relationship Id="rId10" Type="http://schemas.openxmlformats.org/officeDocument/2006/relationships/hyperlink" Target="https://www.indodefence.com/" TargetMode="External"/><Relationship Id="rId19" Type="http://schemas.openxmlformats.org/officeDocument/2006/relationships/hyperlink" Target="https://www.euronaval.fr/" TargetMode="External"/><Relationship Id="rId31" Type="http://schemas.openxmlformats.org/officeDocument/2006/relationships/hyperlink" Target="https://www.bordersecurityexpo.com/" TargetMode="External"/><Relationship Id="rId4" Type="http://schemas.openxmlformats.org/officeDocument/2006/relationships/hyperlink" Target="https://www.milipolasiapacific.com/" TargetMode="External"/><Relationship Id="rId9" Type="http://schemas.openxmlformats.org/officeDocument/2006/relationships/hyperlink" Target="https://www.asiandefense.com/" TargetMode="External"/><Relationship Id="rId14" Type="http://schemas.openxmlformats.org/officeDocument/2006/relationships/hyperlink" Target="https://www.umexabudhabi.ae/" TargetMode="External"/><Relationship Id="rId22" Type="http://schemas.openxmlformats.org/officeDocument/2006/relationships/hyperlink" Target="https://www.gpec.de/" TargetMode="External"/><Relationship Id="rId27" Type="http://schemas.openxmlformats.org/officeDocument/2006/relationships/hyperlink" Target="https://sofweek.org/" TargetMode="External"/><Relationship Id="rId30" Type="http://schemas.openxmlformats.org/officeDocument/2006/relationships/hyperlink" Target="https://technosecurity.us/wes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saexhibition.com/about-dsa-2026" TargetMode="External"/><Relationship Id="rId2" Type="http://schemas.openxmlformats.org/officeDocument/2006/relationships/hyperlink" Target="https://www.defenseadvancement.com/events/" TargetMode="External"/><Relationship Id="rId1" Type="http://schemas.openxmlformats.org/officeDocument/2006/relationships/hyperlink" Target="https://businessinfo.shephardmedia.com/show-news" TargetMode="External"/><Relationship Id="rId4" Type="http://schemas.openxmlformats.org/officeDocument/2006/relationships/hyperlink" Target="https://thedefender.media/en/2026/01/main-events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tabSelected="1" zoomScale="85" zoomScaleNormal="85" workbookViewId="0">
      <pane ySplit="1" topLeftCell="A44" activePane="bottomLeft" state="frozen"/>
      <selection pane="bottomLeft"/>
    </sheetView>
  </sheetViews>
  <sheetFormatPr defaultRowHeight="15" x14ac:dyDescent="0.25"/>
  <cols>
    <col min="1" max="1" width="8" customWidth="1"/>
    <col min="2" max="3" width="18" customWidth="1"/>
    <col min="4" max="4" width="22" customWidth="1"/>
    <col min="5" max="6" width="42" customWidth="1"/>
    <col min="7" max="7" width="24" customWidth="1"/>
    <col min="8" max="8" width="42" customWidth="1"/>
    <col min="9" max="9" width="18" customWidth="1"/>
    <col min="10" max="10" width="22" customWidth="1"/>
    <col min="11" max="11" width="28" customWidth="1"/>
    <col min="12" max="12" width="16" customWidth="1"/>
    <col min="13" max="13" width="28" customWidth="1"/>
    <col min="14" max="14" width="48" customWidth="1"/>
    <col min="15" max="15" width="42" customWidth="1"/>
  </cols>
  <sheetData>
    <row r="1" spans="1:15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4">
        <v>5</v>
      </c>
      <c r="M2" s="2" t="s">
        <v>25</v>
      </c>
      <c r="N2" s="2" t="s">
        <v>26</v>
      </c>
      <c r="O2" s="3" t="s">
        <v>19</v>
      </c>
    </row>
    <row r="3" spans="1:15" x14ac:dyDescent="0.25">
      <c r="A3" s="2">
        <v>2</v>
      </c>
      <c r="B3" s="2" t="s">
        <v>15</v>
      </c>
      <c r="C3" s="2" t="s">
        <v>16</v>
      </c>
      <c r="D3" s="2" t="s">
        <v>17</v>
      </c>
      <c r="E3" s="2" t="s">
        <v>27</v>
      </c>
      <c r="F3" s="3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4">
        <v>4</v>
      </c>
      <c r="M3" s="2" t="s">
        <v>34</v>
      </c>
      <c r="N3" s="2"/>
      <c r="O3" s="3" t="s">
        <v>28</v>
      </c>
    </row>
    <row r="4" spans="1:15" ht="30" x14ac:dyDescent="0.25">
      <c r="A4" s="2">
        <v>3</v>
      </c>
      <c r="B4" s="2" t="s">
        <v>15</v>
      </c>
      <c r="C4" s="2" t="s">
        <v>16</v>
      </c>
      <c r="D4" s="2" t="s">
        <v>35</v>
      </c>
      <c r="E4" s="2" t="s">
        <v>36</v>
      </c>
      <c r="F4" s="3" t="s">
        <v>37</v>
      </c>
      <c r="G4" s="2" t="s">
        <v>38</v>
      </c>
      <c r="H4" s="2" t="s">
        <v>39</v>
      </c>
      <c r="I4" s="2" t="s">
        <v>31</v>
      </c>
      <c r="J4" s="2" t="s">
        <v>40</v>
      </c>
      <c r="K4" s="2" t="s">
        <v>33</v>
      </c>
      <c r="L4" s="4">
        <v>3</v>
      </c>
      <c r="M4" s="2" t="s">
        <v>41</v>
      </c>
      <c r="N4" s="2"/>
      <c r="O4" s="3" t="s">
        <v>37</v>
      </c>
    </row>
    <row r="5" spans="1:15" ht="30" x14ac:dyDescent="0.25">
      <c r="A5" s="2">
        <v>4</v>
      </c>
      <c r="B5" s="2" t="s">
        <v>15</v>
      </c>
      <c r="C5" s="2" t="s">
        <v>16</v>
      </c>
      <c r="D5" s="2" t="s">
        <v>35</v>
      </c>
      <c r="E5" s="2" t="s">
        <v>42</v>
      </c>
      <c r="F5" s="3" t="s">
        <v>43</v>
      </c>
      <c r="G5" s="2" t="s">
        <v>44</v>
      </c>
      <c r="H5" s="2" t="s">
        <v>45</v>
      </c>
      <c r="I5" s="2" t="s">
        <v>31</v>
      </c>
      <c r="J5" s="2" t="s">
        <v>46</v>
      </c>
      <c r="K5" s="2" t="s">
        <v>33</v>
      </c>
      <c r="L5" s="4">
        <v>3</v>
      </c>
      <c r="M5" s="2" t="s">
        <v>47</v>
      </c>
      <c r="N5" s="2"/>
      <c r="O5" s="3" t="s">
        <v>43</v>
      </c>
    </row>
    <row r="6" spans="1:15" x14ac:dyDescent="0.25">
      <c r="A6" s="2">
        <v>5</v>
      </c>
      <c r="B6" s="2" t="s">
        <v>15</v>
      </c>
      <c r="C6" s="2" t="s">
        <v>16</v>
      </c>
      <c r="D6" s="2" t="s">
        <v>35</v>
      </c>
      <c r="E6" s="2" t="s">
        <v>48</v>
      </c>
      <c r="F6" s="3" t="s">
        <v>49</v>
      </c>
      <c r="G6" s="2" t="s">
        <v>50</v>
      </c>
      <c r="H6" s="2" t="s">
        <v>51</v>
      </c>
      <c r="I6" s="2" t="s">
        <v>31</v>
      </c>
      <c r="J6" s="2" t="s">
        <v>52</v>
      </c>
      <c r="K6" s="2" t="s">
        <v>33</v>
      </c>
      <c r="L6" s="4">
        <v>3</v>
      </c>
      <c r="M6" s="2" t="s">
        <v>53</v>
      </c>
      <c r="N6" s="2"/>
      <c r="O6" s="3" t="s">
        <v>49</v>
      </c>
    </row>
    <row r="7" spans="1:15" ht="30" x14ac:dyDescent="0.25">
      <c r="A7" s="2">
        <v>6</v>
      </c>
      <c r="B7" s="2" t="s">
        <v>15</v>
      </c>
      <c r="C7" s="2" t="s">
        <v>16</v>
      </c>
      <c r="D7" s="2" t="s">
        <v>35</v>
      </c>
      <c r="E7" s="2" t="s">
        <v>54</v>
      </c>
      <c r="F7" s="3" t="s">
        <v>55</v>
      </c>
      <c r="G7" s="2" t="s">
        <v>38</v>
      </c>
      <c r="H7" s="2" t="s">
        <v>56</v>
      </c>
      <c r="I7" s="2" t="s">
        <v>31</v>
      </c>
      <c r="J7" s="2" t="s">
        <v>40</v>
      </c>
      <c r="K7" s="2" t="s">
        <v>33</v>
      </c>
      <c r="L7" s="4">
        <v>2</v>
      </c>
      <c r="M7" s="2" t="s">
        <v>57</v>
      </c>
      <c r="N7" s="2"/>
      <c r="O7" s="3" t="s">
        <v>55</v>
      </c>
    </row>
    <row r="8" spans="1:15" ht="30" x14ac:dyDescent="0.25">
      <c r="A8" s="2">
        <v>7</v>
      </c>
      <c r="B8" s="2" t="s">
        <v>15</v>
      </c>
      <c r="C8" s="2" t="s">
        <v>58</v>
      </c>
      <c r="D8" s="2" t="s">
        <v>58</v>
      </c>
      <c r="E8" s="2" t="s">
        <v>59</v>
      </c>
      <c r="F8" s="3" t="s">
        <v>60</v>
      </c>
      <c r="G8" s="2" t="s">
        <v>61</v>
      </c>
      <c r="H8" s="2" t="s">
        <v>62</v>
      </c>
      <c r="I8" s="2" t="s">
        <v>22</v>
      </c>
      <c r="J8" s="2" t="s">
        <v>63</v>
      </c>
      <c r="K8" s="2" t="s">
        <v>24</v>
      </c>
      <c r="L8" s="4">
        <v>5</v>
      </c>
      <c r="M8" s="2" t="s">
        <v>64</v>
      </c>
      <c r="N8" s="2"/>
      <c r="O8" s="3" t="s">
        <v>60</v>
      </c>
    </row>
    <row r="9" spans="1:15" ht="30" x14ac:dyDescent="0.25">
      <c r="A9" s="2">
        <v>8</v>
      </c>
      <c r="B9" s="2" t="s">
        <v>15</v>
      </c>
      <c r="C9" s="2" t="s">
        <v>58</v>
      </c>
      <c r="D9" s="2" t="s">
        <v>58</v>
      </c>
      <c r="E9" s="2" t="s">
        <v>65</v>
      </c>
      <c r="F9" s="3" t="s">
        <v>66</v>
      </c>
      <c r="G9" s="2" t="s">
        <v>67</v>
      </c>
      <c r="H9" s="2" t="s">
        <v>68</v>
      </c>
      <c r="I9" s="2" t="s">
        <v>22</v>
      </c>
      <c r="J9" s="2" t="s">
        <v>69</v>
      </c>
      <c r="K9" s="2" t="s">
        <v>70</v>
      </c>
      <c r="L9" s="4">
        <v>5</v>
      </c>
      <c r="M9" s="2" t="s">
        <v>71</v>
      </c>
      <c r="N9" s="2"/>
      <c r="O9" s="3" t="s">
        <v>66</v>
      </c>
    </row>
    <row r="10" spans="1:15" ht="30" x14ac:dyDescent="0.25">
      <c r="A10" s="2">
        <v>9</v>
      </c>
      <c r="B10" s="2" t="s">
        <v>15</v>
      </c>
      <c r="C10" s="2" t="s">
        <v>58</v>
      </c>
      <c r="D10" s="2" t="s">
        <v>58</v>
      </c>
      <c r="E10" s="2" t="s">
        <v>72</v>
      </c>
      <c r="F10" s="3" t="s">
        <v>73</v>
      </c>
      <c r="G10" s="2" t="s">
        <v>74</v>
      </c>
      <c r="H10" s="2" t="s">
        <v>75</v>
      </c>
      <c r="I10" s="2" t="s">
        <v>22</v>
      </c>
      <c r="J10" s="2" t="s">
        <v>76</v>
      </c>
      <c r="K10" s="2" t="s">
        <v>70</v>
      </c>
      <c r="L10" s="4">
        <v>5</v>
      </c>
      <c r="M10" s="2" t="s">
        <v>77</v>
      </c>
      <c r="N10" s="2"/>
      <c r="O10" s="3" t="s">
        <v>73</v>
      </c>
    </row>
    <row r="11" spans="1:15" ht="30" x14ac:dyDescent="0.25">
      <c r="A11" s="2">
        <v>10</v>
      </c>
      <c r="B11" s="2" t="s">
        <v>15</v>
      </c>
      <c r="C11" s="2" t="s">
        <v>58</v>
      </c>
      <c r="D11" s="2" t="s">
        <v>58</v>
      </c>
      <c r="E11" s="2" t="s">
        <v>78</v>
      </c>
      <c r="F11" s="3" t="s">
        <v>79</v>
      </c>
      <c r="G11" s="2" t="s">
        <v>80</v>
      </c>
      <c r="H11" s="2" t="s">
        <v>81</v>
      </c>
      <c r="I11" s="2" t="s">
        <v>31</v>
      </c>
      <c r="J11" s="2" t="s">
        <v>82</v>
      </c>
      <c r="K11" s="2" t="s">
        <v>33</v>
      </c>
      <c r="L11" s="4">
        <v>5</v>
      </c>
      <c r="M11" s="2" t="s">
        <v>83</v>
      </c>
      <c r="N11" s="2"/>
      <c r="O11" s="3" t="s">
        <v>79</v>
      </c>
    </row>
    <row r="12" spans="1:15" ht="30" x14ac:dyDescent="0.25">
      <c r="A12" s="2">
        <v>11</v>
      </c>
      <c r="B12" s="2" t="s">
        <v>15</v>
      </c>
      <c r="C12" s="2" t="s">
        <v>58</v>
      </c>
      <c r="D12" s="2" t="s">
        <v>58</v>
      </c>
      <c r="E12" s="2" t="s">
        <v>84</v>
      </c>
      <c r="F12" s="3" t="s">
        <v>85</v>
      </c>
      <c r="G12" s="2" t="s">
        <v>29</v>
      </c>
      <c r="H12" s="2" t="s">
        <v>86</v>
      </c>
      <c r="I12" s="2" t="s">
        <v>31</v>
      </c>
      <c r="J12" s="2" t="s">
        <v>87</v>
      </c>
      <c r="K12" s="2" t="s">
        <v>33</v>
      </c>
      <c r="L12" s="4">
        <v>4</v>
      </c>
      <c r="M12" s="2" t="s">
        <v>88</v>
      </c>
      <c r="N12" s="2"/>
      <c r="O12" s="3" t="s">
        <v>85</v>
      </c>
    </row>
    <row r="13" spans="1:15" x14ac:dyDescent="0.25">
      <c r="A13" s="2">
        <v>12</v>
      </c>
      <c r="B13" s="2" t="s">
        <v>15</v>
      </c>
      <c r="C13" s="2" t="s">
        <v>58</v>
      </c>
      <c r="D13" s="2" t="s">
        <v>58</v>
      </c>
      <c r="E13" s="2" t="s">
        <v>89</v>
      </c>
      <c r="F13" s="3" t="s">
        <v>90</v>
      </c>
      <c r="G13" s="2" t="s">
        <v>29</v>
      </c>
      <c r="H13" s="2" t="s">
        <v>91</v>
      </c>
      <c r="I13" s="2" t="s">
        <v>31</v>
      </c>
      <c r="J13" s="2" t="s">
        <v>87</v>
      </c>
      <c r="K13" s="2" t="s">
        <v>33</v>
      </c>
      <c r="L13" s="4">
        <v>3</v>
      </c>
      <c r="M13" s="2" t="s">
        <v>92</v>
      </c>
      <c r="N13" s="2"/>
      <c r="O13" s="3" t="s">
        <v>90</v>
      </c>
    </row>
    <row r="14" spans="1:15" ht="30" x14ac:dyDescent="0.25">
      <c r="A14" s="2">
        <v>13</v>
      </c>
      <c r="B14" s="2" t="s">
        <v>15</v>
      </c>
      <c r="C14" s="2" t="s">
        <v>58</v>
      </c>
      <c r="D14" s="2" t="s">
        <v>58</v>
      </c>
      <c r="E14" s="2" t="s">
        <v>93</v>
      </c>
      <c r="F14" s="3" t="s">
        <v>94</v>
      </c>
      <c r="G14" s="2" t="s">
        <v>29</v>
      </c>
      <c r="H14" s="2" t="s">
        <v>95</v>
      </c>
      <c r="I14" s="2" t="s">
        <v>31</v>
      </c>
      <c r="J14" s="2" t="s">
        <v>46</v>
      </c>
      <c r="K14" s="2" t="s">
        <v>33</v>
      </c>
      <c r="L14" s="4">
        <v>4</v>
      </c>
      <c r="M14" s="2" t="s">
        <v>96</v>
      </c>
      <c r="N14" s="2"/>
      <c r="O14" s="3" t="s">
        <v>94</v>
      </c>
    </row>
    <row r="15" spans="1:15" ht="30" x14ac:dyDescent="0.25">
      <c r="A15" s="2">
        <v>14</v>
      </c>
      <c r="B15" s="2" t="s">
        <v>15</v>
      </c>
      <c r="C15" s="2" t="s">
        <v>97</v>
      </c>
      <c r="D15" s="2" t="s">
        <v>98</v>
      </c>
      <c r="E15" s="2" t="s">
        <v>99</v>
      </c>
      <c r="F15" s="3" t="s">
        <v>100</v>
      </c>
      <c r="G15" s="2" t="s">
        <v>101</v>
      </c>
      <c r="H15" s="2" t="s">
        <v>102</v>
      </c>
      <c r="I15" s="2" t="s">
        <v>22</v>
      </c>
      <c r="J15" s="2" t="s">
        <v>103</v>
      </c>
      <c r="K15" s="2" t="s">
        <v>24</v>
      </c>
      <c r="L15" s="4">
        <v>5</v>
      </c>
      <c r="M15" s="2" t="s">
        <v>104</v>
      </c>
      <c r="N15" s="2" t="s">
        <v>105</v>
      </c>
      <c r="O15" s="3" t="s">
        <v>100</v>
      </c>
    </row>
    <row r="16" spans="1:15" ht="30" x14ac:dyDescent="0.25">
      <c r="A16" s="2">
        <v>15</v>
      </c>
      <c r="B16" s="2" t="s">
        <v>15</v>
      </c>
      <c r="C16" s="2" t="s">
        <v>97</v>
      </c>
      <c r="D16" s="2" t="s">
        <v>98</v>
      </c>
      <c r="E16" s="2" t="s">
        <v>106</v>
      </c>
      <c r="F16" s="3" t="s">
        <v>107</v>
      </c>
      <c r="G16" s="2" t="s">
        <v>74</v>
      </c>
      <c r="H16" s="2" t="s">
        <v>108</v>
      </c>
      <c r="I16" s="2" t="s">
        <v>22</v>
      </c>
      <c r="J16" s="2" t="s">
        <v>109</v>
      </c>
      <c r="K16" s="2" t="s">
        <v>24</v>
      </c>
      <c r="L16" s="4">
        <v>5</v>
      </c>
      <c r="M16" s="2" t="s">
        <v>110</v>
      </c>
      <c r="N16" s="2"/>
      <c r="O16" s="3" t="s">
        <v>107</v>
      </c>
    </row>
    <row r="17" spans="1:15" ht="30" x14ac:dyDescent="0.25">
      <c r="A17" s="2">
        <v>16</v>
      </c>
      <c r="B17" s="2" t="s">
        <v>15</v>
      </c>
      <c r="C17" s="2" t="s">
        <v>97</v>
      </c>
      <c r="D17" s="2" t="s">
        <v>111</v>
      </c>
      <c r="E17" s="2" t="s">
        <v>112</v>
      </c>
      <c r="F17" s="3" t="s">
        <v>113</v>
      </c>
      <c r="G17" s="2" t="s">
        <v>114</v>
      </c>
      <c r="H17" s="2" t="s">
        <v>115</v>
      </c>
      <c r="I17" s="2" t="s">
        <v>22</v>
      </c>
      <c r="J17" s="2" t="s">
        <v>69</v>
      </c>
      <c r="K17" s="2" t="s">
        <v>70</v>
      </c>
      <c r="L17" s="4">
        <v>5</v>
      </c>
      <c r="M17" s="2" t="s">
        <v>116</v>
      </c>
      <c r="N17" s="2"/>
      <c r="O17" s="3" t="s">
        <v>113</v>
      </c>
    </row>
    <row r="18" spans="1:15" ht="30" x14ac:dyDescent="0.25">
      <c r="A18" s="2">
        <v>17</v>
      </c>
      <c r="B18" s="2" t="s">
        <v>15</v>
      </c>
      <c r="C18" s="2" t="s">
        <v>117</v>
      </c>
      <c r="D18" s="2" t="s">
        <v>118</v>
      </c>
      <c r="E18" s="2" t="s">
        <v>119</v>
      </c>
      <c r="F18" s="3" t="s">
        <v>120</v>
      </c>
      <c r="G18" s="2" t="s">
        <v>101</v>
      </c>
      <c r="H18" s="2" t="s">
        <v>121</v>
      </c>
      <c r="I18" s="2" t="s">
        <v>22</v>
      </c>
      <c r="J18" s="2" t="s">
        <v>122</v>
      </c>
      <c r="K18" s="2" t="s">
        <v>70</v>
      </c>
      <c r="L18" s="4">
        <v>5</v>
      </c>
      <c r="M18" s="2" t="s">
        <v>123</v>
      </c>
      <c r="N18" s="2"/>
      <c r="O18" s="3" t="s">
        <v>120</v>
      </c>
    </row>
    <row r="19" spans="1:15" x14ac:dyDescent="0.25">
      <c r="A19" s="2">
        <v>18</v>
      </c>
      <c r="B19" s="2" t="s">
        <v>15</v>
      </c>
      <c r="C19" s="2" t="s">
        <v>117</v>
      </c>
      <c r="D19" s="2" t="s">
        <v>118</v>
      </c>
      <c r="E19" s="2" t="s">
        <v>124</v>
      </c>
      <c r="F19" s="3" t="s">
        <v>125</v>
      </c>
      <c r="G19" s="2" t="s">
        <v>29</v>
      </c>
      <c r="H19" s="2" t="s">
        <v>126</v>
      </c>
      <c r="I19" s="2" t="s">
        <v>31</v>
      </c>
      <c r="J19" s="2" t="s">
        <v>127</v>
      </c>
      <c r="K19" s="2" t="s">
        <v>33</v>
      </c>
      <c r="L19" s="4">
        <v>3</v>
      </c>
      <c r="M19" s="2" t="s">
        <v>128</v>
      </c>
      <c r="N19" s="2"/>
      <c r="O19" s="3" t="s">
        <v>125</v>
      </c>
    </row>
    <row r="20" spans="1:15" ht="30" x14ac:dyDescent="0.25">
      <c r="A20" s="2">
        <v>19</v>
      </c>
      <c r="B20" s="2" t="s">
        <v>15</v>
      </c>
      <c r="C20" s="2" t="s">
        <v>129</v>
      </c>
      <c r="D20" s="2" t="s">
        <v>130</v>
      </c>
      <c r="E20" s="2" t="s">
        <v>131</v>
      </c>
      <c r="F20" s="3" t="s">
        <v>132</v>
      </c>
      <c r="G20" s="2" t="s">
        <v>20</v>
      </c>
      <c r="H20" s="2" t="s">
        <v>133</v>
      </c>
      <c r="I20" s="2" t="s">
        <v>22</v>
      </c>
      <c r="J20" s="2" t="s">
        <v>134</v>
      </c>
      <c r="K20" s="2" t="s">
        <v>24</v>
      </c>
      <c r="L20" s="4">
        <v>5</v>
      </c>
      <c r="M20" s="2" t="s">
        <v>64</v>
      </c>
      <c r="N20" s="2"/>
      <c r="O20" s="3" t="s">
        <v>132</v>
      </c>
    </row>
    <row r="21" spans="1:15" ht="30" x14ac:dyDescent="0.25">
      <c r="A21" s="2">
        <v>20</v>
      </c>
      <c r="B21" s="2" t="s">
        <v>15</v>
      </c>
      <c r="C21" s="2" t="s">
        <v>129</v>
      </c>
      <c r="D21" s="2" t="s">
        <v>130</v>
      </c>
      <c r="E21" s="2" t="s">
        <v>135</v>
      </c>
      <c r="F21" s="3" t="s">
        <v>132</v>
      </c>
      <c r="G21" s="2" t="s">
        <v>61</v>
      </c>
      <c r="H21" s="2" t="s">
        <v>136</v>
      </c>
      <c r="I21" s="2" t="s">
        <v>22</v>
      </c>
      <c r="J21" s="2" t="s">
        <v>137</v>
      </c>
      <c r="K21" s="2" t="s">
        <v>24</v>
      </c>
      <c r="L21" s="4">
        <v>4</v>
      </c>
      <c r="M21" s="2" t="s">
        <v>138</v>
      </c>
      <c r="N21" s="2"/>
      <c r="O21" s="3" t="s">
        <v>132</v>
      </c>
    </row>
    <row r="22" spans="1:15" ht="30" x14ac:dyDescent="0.25">
      <c r="A22" s="2">
        <v>21</v>
      </c>
      <c r="B22" s="2" t="s">
        <v>15</v>
      </c>
      <c r="C22" s="2" t="s">
        <v>129</v>
      </c>
      <c r="D22" s="2" t="s">
        <v>130</v>
      </c>
      <c r="E22" s="2" t="s">
        <v>139</v>
      </c>
      <c r="F22" s="3" t="s">
        <v>132</v>
      </c>
      <c r="G22" s="2" t="s">
        <v>67</v>
      </c>
      <c r="H22" s="2" t="s">
        <v>140</v>
      </c>
      <c r="I22" s="2" t="s">
        <v>22</v>
      </c>
      <c r="J22" s="2" t="s">
        <v>137</v>
      </c>
      <c r="K22" s="2" t="s">
        <v>24</v>
      </c>
      <c r="L22" s="4">
        <v>4</v>
      </c>
      <c r="M22" s="2" t="s">
        <v>138</v>
      </c>
      <c r="N22" s="2"/>
      <c r="O22" s="3" t="s">
        <v>132</v>
      </c>
    </row>
    <row r="23" spans="1:15" ht="30" x14ac:dyDescent="0.25">
      <c r="A23" s="2">
        <v>22</v>
      </c>
      <c r="B23" s="2" t="s">
        <v>15</v>
      </c>
      <c r="C23" s="2" t="s">
        <v>129</v>
      </c>
      <c r="D23" s="2" t="s">
        <v>130</v>
      </c>
      <c r="E23" s="2" t="s">
        <v>141</v>
      </c>
      <c r="F23" s="3" t="s">
        <v>142</v>
      </c>
      <c r="G23" s="2" t="s">
        <v>29</v>
      </c>
      <c r="H23" s="2" t="s">
        <v>143</v>
      </c>
      <c r="I23" s="2" t="s">
        <v>31</v>
      </c>
      <c r="J23" s="2" t="s">
        <v>82</v>
      </c>
      <c r="K23" s="2" t="s">
        <v>33</v>
      </c>
      <c r="L23" s="4">
        <v>3</v>
      </c>
      <c r="M23" s="2" t="s">
        <v>144</v>
      </c>
      <c r="N23" s="2"/>
      <c r="O23" s="3" t="s">
        <v>142</v>
      </c>
    </row>
    <row r="24" spans="1:15" x14ac:dyDescent="0.25">
      <c r="A24" s="2">
        <v>23</v>
      </c>
      <c r="B24" s="2" t="s">
        <v>15</v>
      </c>
      <c r="C24" s="2" t="s">
        <v>145</v>
      </c>
      <c r="D24" s="2" t="s">
        <v>146</v>
      </c>
      <c r="E24" s="2" t="s">
        <v>147</v>
      </c>
      <c r="F24" s="3" t="s">
        <v>148</v>
      </c>
      <c r="G24" s="2" t="s">
        <v>149</v>
      </c>
      <c r="H24" s="2" t="s">
        <v>150</v>
      </c>
      <c r="I24" s="2" t="s">
        <v>22</v>
      </c>
      <c r="J24" s="2" t="s">
        <v>82</v>
      </c>
      <c r="K24" s="2" t="s">
        <v>24</v>
      </c>
      <c r="L24" s="4">
        <v>4</v>
      </c>
      <c r="M24" s="2" t="s">
        <v>151</v>
      </c>
      <c r="N24" s="2"/>
      <c r="O24" s="3" t="s">
        <v>148</v>
      </c>
    </row>
    <row r="25" spans="1:15" ht="30" x14ac:dyDescent="0.25">
      <c r="A25" s="2">
        <v>24</v>
      </c>
      <c r="B25" s="2" t="s">
        <v>15</v>
      </c>
      <c r="C25" s="2" t="s">
        <v>152</v>
      </c>
      <c r="D25" s="2" t="s">
        <v>153</v>
      </c>
      <c r="E25" s="2" t="s">
        <v>154</v>
      </c>
      <c r="F25" s="3" t="s">
        <v>155</v>
      </c>
      <c r="G25" s="2" t="s">
        <v>20</v>
      </c>
      <c r="H25" s="2" t="s">
        <v>156</v>
      </c>
      <c r="I25" s="2" t="s">
        <v>157</v>
      </c>
      <c r="J25" s="2" t="s">
        <v>158</v>
      </c>
      <c r="K25" s="2" t="s">
        <v>159</v>
      </c>
      <c r="L25" s="4">
        <v>2</v>
      </c>
      <c r="M25" s="2" t="s">
        <v>160</v>
      </c>
      <c r="N25" s="2"/>
      <c r="O25" s="3" t="s">
        <v>155</v>
      </c>
    </row>
    <row r="26" spans="1:15" ht="30" x14ac:dyDescent="0.25">
      <c r="A26" s="2">
        <v>25</v>
      </c>
      <c r="B26" s="2" t="s">
        <v>15</v>
      </c>
      <c r="C26" s="2" t="s">
        <v>161</v>
      </c>
      <c r="D26" s="2" t="s">
        <v>162</v>
      </c>
      <c r="E26" s="2" t="s">
        <v>163</v>
      </c>
      <c r="F26" s="3" t="s">
        <v>164</v>
      </c>
      <c r="G26" s="2" t="s">
        <v>20</v>
      </c>
      <c r="H26" s="2" t="s">
        <v>165</v>
      </c>
      <c r="I26" s="2" t="s">
        <v>22</v>
      </c>
      <c r="J26" s="2" t="s">
        <v>166</v>
      </c>
      <c r="K26" s="2" t="s">
        <v>70</v>
      </c>
      <c r="L26" s="4">
        <v>5</v>
      </c>
      <c r="M26" s="2" t="s">
        <v>167</v>
      </c>
      <c r="N26" s="2"/>
      <c r="O26" s="3" t="s">
        <v>164</v>
      </c>
    </row>
    <row r="27" spans="1:15" ht="30" x14ac:dyDescent="0.25">
      <c r="A27" s="2">
        <v>26</v>
      </c>
      <c r="B27" s="2" t="s">
        <v>15</v>
      </c>
      <c r="C27" s="2" t="s">
        <v>161</v>
      </c>
      <c r="D27" s="2" t="s">
        <v>162</v>
      </c>
      <c r="E27" s="2" t="s">
        <v>168</v>
      </c>
      <c r="F27" s="3" t="s">
        <v>169</v>
      </c>
      <c r="G27" s="2" t="s">
        <v>170</v>
      </c>
      <c r="H27" s="2" t="s">
        <v>171</v>
      </c>
      <c r="I27" s="2" t="s">
        <v>31</v>
      </c>
      <c r="J27" s="2" t="s">
        <v>52</v>
      </c>
      <c r="K27" s="2" t="s">
        <v>33</v>
      </c>
      <c r="L27" s="4">
        <v>4</v>
      </c>
      <c r="M27" s="2" t="s">
        <v>172</v>
      </c>
      <c r="N27" s="2"/>
      <c r="O27" s="3" t="s">
        <v>169</v>
      </c>
    </row>
    <row r="28" spans="1:15" ht="30" x14ac:dyDescent="0.25">
      <c r="A28" s="2">
        <v>27</v>
      </c>
      <c r="B28" s="2" t="s">
        <v>15</v>
      </c>
      <c r="C28" s="2" t="s">
        <v>161</v>
      </c>
      <c r="D28" s="2" t="s">
        <v>173</v>
      </c>
      <c r="E28" s="2" t="s">
        <v>174</v>
      </c>
      <c r="F28" s="3" t="s">
        <v>175</v>
      </c>
      <c r="G28" s="2" t="s">
        <v>176</v>
      </c>
      <c r="H28" s="2" t="s">
        <v>177</v>
      </c>
      <c r="I28" s="2" t="s">
        <v>31</v>
      </c>
      <c r="J28" s="2" t="s">
        <v>87</v>
      </c>
      <c r="K28" s="2" t="s">
        <v>33</v>
      </c>
      <c r="L28" s="4">
        <v>4</v>
      </c>
      <c r="M28" s="2" t="s">
        <v>151</v>
      </c>
      <c r="N28" s="2"/>
      <c r="O28" s="3" t="s">
        <v>175</v>
      </c>
    </row>
    <row r="29" spans="1:15" x14ac:dyDescent="0.25">
      <c r="A29" s="2">
        <v>28</v>
      </c>
      <c r="B29" s="2" t="s">
        <v>15</v>
      </c>
      <c r="C29" s="2" t="s">
        <v>161</v>
      </c>
      <c r="D29" s="2" t="s">
        <v>173</v>
      </c>
      <c r="E29" s="2" t="s">
        <v>178</v>
      </c>
      <c r="F29" s="3" t="s">
        <v>179</v>
      </c>
      <c r="G29" s="2" t="s">
        <v>180</v>
      </c>
      <c r="H29" s="2" t="s">
        <v>181</v>
      </c>
      <c r="I29" s="2" t="s">
        <v>31</v>
      </c>
      <c r="J29" s="2" t="s">
        <v>182</v>
      </c>
      <c r="K29" s="2" t="s">
        <v>33</v>
      </c>
      <c r="L29" s="4">
        <v>3</v>
      </c>
      <c r="M29" s="2" t="s">
        <v>183</v>
      </c>
      <c r="N29" s="2"/>
      <c r="O29" s="3" t="s">
        <v>179</v>
      </c>
    </row>
    <row r="30" spans="1:15" x14ac:dyDescent="0.25">
      <c r="A30" s="2">
        <v>29</v>
      </c>
      <c r="B30" s="2" t="s">
        <v>15</v>
      </c>
      <c r="C30" s="2" t="s">
        <v>184</v>
      </c>
      <c r="D30" s="2" t="s">
        <v>185</v>
      </c>
      <c r="E30" s="2" t="s">
        <v>186</v>
      </c>
      <c r="F30" s="3" t="s">
        <v>187</v>
      </c>
      <c r="G30" s="2" t="s">
        <v>61</v>
      </c>
      <c r="H30" s="2" t="s">
        <v>188</v>
      </c>
      <c r="I30" s="2" t="s">
        <v>22</v>
      </c>
      <c r="J30" s="2" t="s">
        <v>189</v>
      </c>
      <c r="K30" s="2" t="s">
        <v>70</v>
      </c>
      <c r="L30" s="4">
        <v>5</v>
      </c>
      <c r="M30" s="2" t="s">
        <v>190</v>
      </c>
      <c r="N30" s="2"/>
      <c r="O30" s="3" t="s">
        <v>187</v>
      </c>
    </row>
    <row r="31" spans="1:15" x14ac:dyDescent="0.25">
      <c r="A31" s="2">
        <v>30</v>
      </c>
      <c r="B31" s="2" t="s">
        <v>15</v>
      </c>
      <c r="C31" s="2" t="s">
        <v>184</v>
      </c>
      <c r="D31" s="2" t="s">
        <v>191</v>
      </c>
      <c r="E31" s="2" t="s">
        <v>192</v>
      </c>
      <c r="F31" s="3" t="s">
        <v>193</v>
      </c>
      <c r="G31" s="2" t="s">
        <v>194</v>
      </c>
      <c r="H31" s="2" t="s">
        <v>195</v>
      </c>
      <c r="I31" s="2" t="s">
        <v>22</v>
      </c>
      <c r="J31" s="2" t="s">
        <v>196</v>
      </c>
      <c r="K31" s="2" t="s">
        <v>24</v>
      </c>
      <c r="L31" s="4">
        <v>4</v>
      </c>
      <c r="M31" s="2" t="s">
        <v>151</v>
      </c>
      <c r="N31" s="2"/>
      <c r="O31" s="3" t="s">
        <v>193</v>
      </c>
    </row>
    <row r="32" spans="1:15" ht="30" x14ac:dyDescent="0.25">
      <c r="A32" s="2">
        <v>31</v>
      </c>
      <c r="B32" s="2" t="s">
        <v>15</v>
      </c>
      <c r="C32" s="2" t="s">
        <v>184</v>
      </c>
      <c r="D32" s="2" t="s">
        <v>197</v>
      </c>
      <c r="E32" s="2" t="s">
        <v>198</v>
      </c>
      <c r="F32" s="3" t="s">
        <v>199</v>
      </c>
      <c r="G32" s="2" t="s">
        <v>67</v>
      </c>
      <c r="H32" s="2" t="s">
        <v>68</v>
      </c>
      <c r="I32" s="2" t="s">
        <v>22</v>
      </c>
      <c r="J32" s="2" t="s">
        <v>200</v>
      </c>
      <c r="K32" s="2" t="s">
        <v>70</v>
      </c>
      <c r="L32" s="4">
        <v>4</v>
      </c>
      <c r="M32" s="2" t="s">
        <v>201</v>
      </c>
      <c r="N32" s="2"/>
      <c r="O32" s="3" t="s">
        <v>199</v>
      </c>
    </row>
    <row r="33" spans="1:15" x14ac:dyDescent="0.25">
      <c r="A33" s="2">
        <v>32</v>
      </c>
      <c r="B33" s="2" t="s">
        <v>15</v>
      </c>
      <c r="C33" s="2" t="s">
        <v>184</v>
      </c>
      <c r="D33" s="2" t="s">
        <v>185</v>
      </c>
      <c r="E33" s="2" t="s">
        <v>202</v>
      </c>
      <c r="F33" s="3" t="s">
        <v>203</v>
      </c>
      <c r="G33" s="2" t="s">
        <v>180</v>
      </c>
      <c r="H33" s="2" t="s">
        <v>204</v>
      </c>
      <c r="I33" s="2" t="s">
        <v>31</v>
      </c>
      <c r="J33" s="2" t="s">
        <v>182</v>
      </c>
      <c r="K33" s="2" t="s">
        <v>33</v>
      </c>
      <c r="L33" s="4">
        <v>3</v>
      </c>
      <c r="M33" s="2" t="s">
        <v>205</v>
      </c>
      <c r="N33" s="2"/>
      <c r="O33" s="3" t="s">
        <v>203</v>
      </c>
    </row>
    <row r="34" spans="1:15" ht="30" x14ac:dyDescent="0.25">
      <c r="A34" s="2">
        <v>33</v>
      </c>
      <c r="B34" s="2" t="s">
        <v>15</v>
      </c>
      <c r="C34" s="2" t="s">
        <v>206</v>
      </c>
      <c r="D34" s="2" t="s">
        <v>207</v>
      </c>
      <c r="E34" s="2" t="s">
        <v>208</v>
      </c>
      <c r="F34" s="3" t="s">
        <v>209</v>
      </c>
      <c r="G34" s="2" t="s">
        <v>61</v>
      </c>
      <c r="H34" s="2" t="s">
        <v>210</v>
      </c>
      <c r="I34" s="2" t="s">
        <v>22</v>
      </c>
      <c r="J34" s="2" t="s">
        <v>82</v>
      </c>
      <c r="K34" s="2" t="s">
        <v>70</v>
      </c>
      <c r="L34" s="4">
        <v>4</v>
      </c>
      <c r="M34" s="2" t="s">
        <v>151</v>
      </c>
      <c r="N34" s="2"/>
      <c r="O34" s="3" t="s">
        <v>209</v>
      </c>
    </row>
    <row r="35" spans="1:15" ht="30" x14ac:dyDescent="0.25">
      <c r="A35" s="2">
        <v>34</v>
      </c>
      <c r="B35" s="2" t="s">
        <v>15</v>
      </c>
      <c r="C35" s="2" t="s">
        <v>211</v>
      </c>
      <c r="D35" s="2" t="s">
        <v>212</v>
      </c>
      <c r="E35" s="2" t="s">
        <v>213</v>
      </c>
      <c r="F35" s="3" t="s">
        <v>214</v>
      </c>
      <c r="G35" s="2" t="s">
        <v>61</v>
      </c>
      <c r="H35" s="2" t="s">
        <v>215</v>
      </c>
      <c r="I35" s="2" t="s">
        <v>22</v>
      </c>
      <c r="J35" s="2" t="s">
        <v>134</v>
      </c>
      <c r="K35" s="2" t="s">
        <v>24</v>
      </c>
      <c r="L35" s="4">
        <v>3</v>
      </c>
      <c r="M35" s="2" t="s">
        <v>216</v>
      </c>
      <c r="N35" s="2"/>
      <c r="O35" s="3" t="s">
        <v>214</v>
      </c>
    </row>
    <row r="36" spans="1:15" x14ac:dyDescent="0.25">
      <c r="A36" s="2">
        <v>35</v>
      </c>
      <c r="B36" s="2" t="s">
        <v>15</v>
      </c>
      <c r="C36" s="2" t="s">
        <v>211</v>
      </c>
      <c r="D36" s="2" t="s">
        <v>217</v>
      </c>
      <c r="E36" s="2" t="s">
        <v>218</v>
      </c>
      <c r="F36" s="3" t="s">
        <v>219</v>
      </c>
      <c r="G36" s="2" t="s">
        <v>180</v>
      </c>
      <c r="H36" s="2" t="s">
        <v>220</v>
      </c>
      <c r="I36" s="2" t="s">
        <v>22</v>
      </c>
      <c r="J36" s="2" t="s">
        <v>189</v>
      </c>
      <c r="K36" s="2" t="s">
        <v>70</v>
      </c>
      <c r="L36" s="4">
        <v>2</v>
      </c>
      <c r="M36" s="2" t="s">
        <v>160</v>
      </c>
      <c r="N36" s="2"/>
      <c r="O36" s="3" t="s">
        <v>219</v>
      </c>
    </row>
    <row r="37" spans="1:15" x14ac:dyDescent="0.25">
      <c r="A37" s="2">
        <v>36</v>
      </c>
      <c r="B37" s="2" t="s">
        <v>15</v>
      </c>
      <c r="C37" s="2" t="s">
        <v>211</v>
      </c>
      <c r="D37" s="2" t="s">
        <v>217</v>
      </c>
      <c r="E37" s="2" t="s">
        <v>221</v>
      </c>
      <c r="F37" s="3" t="s">
        <v>222</v>
      </c>
      <c r="G37" s="2" t="s">
        <v>223</v>
      </c>
      <c r="H37" s="2" t="s">
        <v>224</v>
      </c>
      <c r="I37" s="2" t="s">
        <v>31</v>
      </c>
      <c r="J37" s="2" t="s">
        <v>32</v>
      </c>
      <c r="K37" s="2" t="s">
        <v>159</v>
      </c>
      <c r="L37" s="4">
        <v>3</v>
      </c>
      <c r="M37" s="2" t="s">
        <v>225</v>
      </c>
      <c r="N37" s="2"/>
      <c r="O37" s="3" t="s">
        <v>222</v>
      </c>
    </row>
    <row r="38" spans="1:15" ht="30" x14ac:dyDescent="0.25">
      <c r="A38" s="2">
        <v>37</v>
      </c>
      <c r="B38" s="2" t="s">
        <v>15</v>
      </c>
      <c r="C38" s="2" t="s">
        <v>211</v>
      </c>
      <c r="D38" s="2" t="s">
        <v>226</v>
      </c>
      <c r="E38" s="2" t="s">
        <v>227</v>
      </c>
      <c r="F38" s="3" t="s">
        <v>228</v>
      </c>
      <c r="G38" s="2" t="s">
        <v>229</v>
      </c>
      <c r="H38" s="2" t="s">
        <v>230</v>
      </c>
      <c r="I38" s="2" t="s">
        <v>22</v>
      </c>
      <c r="J38" s="2" t="s">
        <v>166</v>
      </c>
      <c r="K38" s="2" t="s">
        <v>159</v>
      </c>
      <c r="L38" s="4">
        <v>2</v>
      </c>
      <c r="M38" s="2" t="s">
        <v>160</v>
      </c>
      <c r="N38" s="2"/>
      <c r="O38" s="3" t="s">
        <v>228</v>
      </c>
    </row>
    <row r="39" spans="1:15" ht="30" x14ac:dyDescent="0.25">
      <c r="A39" s="2">
        <v>38</v>
      </c>
      <c r="B39" s="2" t="s">
        <v>15</v>
      </c>
      <c r="C39" s="2" t="s">
        <v>231</v>
      </c>
      <c r="D39" s="2" t="s">
        <v>232</v>
      </c>
      <c r="E39" s="2" t="s">
        <v>233</v>
      </c>
      <c r="F39" s="3" t="s">
        <v>234</v>
      </c>
      <c r="G39" s="2" t="s">
        <v>20</v>
      </c>
      <c r="H39" s="2" t="s">
        <v>235</v>
      </c>
      <c r="I39" s="2" t="s">
        <v>22</v>
      </c>
      <c r="J39" s="2" t="s">
        <v>158</v>
      </c>
      <c r="K39" s="2" t="s">
        <v>236</v>
      </c>
      <c r="L39" s="4">
        <v>4</v>
      </c>
      <c r="M39" s="2" t="s">
        <v>151</v>
      </c>
      <c r="N39" s="2"/>
      <c r="O39" s="3" t="s">
        <v>234</v>
      </c>
    </row>
    <row r="40" spans="1:15" x14ac:dyDescent="0.25">
      <c r="A40" s="2">
        <v>39</v>
      </c>
      <c r="B40" s="2" t="s">
        <v>15</v>
      </c>
      <c r="C40" s="2" t="s">
        <v>231</v>
      </c>
      <c r="D40" s="2" t="s">
        <v>237</v>
      </c>
      <c r="E40" s="2" t="s">
        <v>238</v>
      </c>
      <c r="F40" s="3" t="s">
        <v>239</v>
      </c>
      <c r="G40" s="2" t="s">
        <v>61</v>
      </c>
      <c r="H40" s="2" t="s">
        <v>188</v>
      </c>
      <c r="I40" s="2" t="s">
        <v>22</v>
      </c>
      <c r="J40" s="2" t="s">
        <v>240</v>
      </c>
      <c r="K40" s="2" t="s">
        <v>70</v>
      </c>
      <c r="L40" s="4">
        <v>4</v>
      </c>
      <c r="M40" s="2" t="s">
        <v>151</v>
      </c>
      <c r="N40" s="2"/>
      <c r="O40" s="3" t="s">
        <v>239</v>
      </c>
    </row>
    <row r="41" spans="1:15" ht="30" x14ac:dyDescent="0.25">
      <c r="A41" s="2">
        <v>40</v>
      </c>
      <c r="B41" s="2" t="s">
        <v>15</v>
      </c>
      <c r="C41" s="2" t="s">
        <v>231</v>
      </c>
      <c r="D41" s="2" t="s">
        <v>241</v>
      </c>
      <c r="E41" s="2" t="s">
        <v>242</v>
      </c>
      <c r="F41" s="3" t="s">
        <v>243</v>
      </c>
      <c r="G41" s="2" t="s">
        <v>74</v>
      </c>
      <c r="H41" s="2" t="s">
        <v>244</v>
      </c>
      <c r="I41" s="2" t="s">
        <v>245</v>
      </c>
      <c r="J41" s="2" t="s">
        <v>87</v>
      </c>
      <c r="K41" s="2" t="s">
        <v>159</v>
      </c>
      <c r="L41" s="4">
        <v>3</v>
      </c>
      <c r="M41" s="2" t="s">
        <v>246</v>
      </c>
      <c r="N41" s="2"/>
      <c r="O41" s="3" t="s">
        <v>243</v>
      </c>
    </row>
    <row r="42" spans="1:15" x14ac:dyDescent="0.25">
      <c r="A42" s="2">
        <v>41</v>
      </c>
      <c r="B42" s="2" t="s">
        <v>15</v>
      </c>
      <c r="C42" s="2" t="s">
        <v>231</v>
      </c>
      <c r="D42" s="2" t="s">
        <v>241</v>
      </c>
      <c r="E42" s="2" t="s">
        <v>247</v>
      </c>
      <c r="F42" s="3" t="s">
        <v>248</v>
      </c>
      <c r="G42" s="2" t="s">
        <v>74</v>
      </c>
      <c r="H42" s="2" t="s">
        <v>249</v>
      </c>
      <c r="I42" s="2" t="s">
        <v>31</v>
      </c>
      <c r="J42" s="2" t="s">
        <v>250</v>
      </c>
      <c r="K42" s="2" t="s">
        <v>159</v>
      </c>
      <c r="L42" s="4">
        <v>3</v>
      </c>
      <c r="M42" s="2" t="s">
        <v>246</v>
      </c>
      <c r="N42" s="2"/>
      <c r="O42" s="3" t="s">
        <v>248</v>
      </c>
    </row>
    <row r="43" spans="1:15" x14ac:dyDescent="0.25">
      <c r="A43" s="2">
        <v>42</v>
      </c>
      <c r="B43" s="2" t="s">
        <v>15</v>
      </c>
      <c r="C43" s="2" t="s">
        <v>251</v>
      </c>
      <c r="D43" s="2" t="s">
        <v>252</v>
      </c>
      <c r="E43" s="2" t="s">
        <v>253</v>
      </c>
      <c r="F43" s="3" t="s">
        <v>254</v>
      </c>
      <c r="G43" s="2" t="s">
        <v>61</v>
      </c>
      <c r="H43" s="2" t="s">
        <v>255</v>
      </c>
      <c r="I43" s="2" t="s">
        <v>22</v>
      </c>
      <c r="J43" s="2" t="s">
        <v>256</v>
      </c>
      <c r="K43" s="2" t="s">
        <v>70</v>
      </c>
      <c r="L43" s="4">
        <v>4</v>
      </c>
      <c r="M43" s="2" t="s">
        <v>151</v>
      </c>
      <c r="N43" s="2"/>
      <c r="O43" s="3" t="s">
        <v>254</v>
      </c>
    </row>
    <row r="44" spans="1:15" ht="30" x14ac:dyDescent="0.25">
      <c r="A44" s="2">
        <v>43</v>
      </c>
      <c r="B44" s="2" t="s">
        <v>15</v>
      </c>
      <c r="C44" s="2" t="s">
        <v>251</v>
      </c>
      <c r="D44" s="2" t="s">
        <v>257</v>
      </c>
      <c r="E44" s="2" t="s">
        <v>258</v>
      </c>
      <c r="F44" s="3" t="s">
        <v>259</v>
      </c>
      <c r="G44" s="2" t="s">
        <v>67</v>
      </c>
      <c r="H44" s="2" t="s">
        <v>260</v>
      </c>
      <c r="I44" s="2" t="s">
        <v>22</v>
      </c>
      <c r="J44" s="2" t="s">
        <v>122</v>
      </c>
      <c r="K44" s="2" t="s">
        <v>70</v>
      </c>
      <c r="L44" s="4">
        <v>4</v>
      </c>
      <c r="M44" s="2" t="s">
        <v>201</v>
      </c>
      <c r="N44" s="2"/>
      <c r="O44" s="3" t="s">
        <v>259</v>
      </c>
    </row>
    <row r="45" spans="1:15" ht="30" x14ac:dyDescent="0.25">
      <c r="A45" s="2">
        <v>44</v>
      </c>
      <c r="B45" s="2" t="s">
        <v>15</v>
      </c>
      <c r="C45" s="2" t="s">
        <v>251</v>
      </c>
      <c r="D45" s="2" t="s">
        <v>261</v>
      </c>
      <c r="E45" s="2" t="s">
        <v>262</v>
      </c>
      <c r="F45" s="3" t="s">
        <v>263</v>
      </c>
      <c r="G45" s="2" t="s">
        <v>194</v>
      </c>
      <c r="H45" s="2" t="s">
        <v>264</v>
      </c>
      <c r="I45" s="2" t="s">
        <v>22</v>
      </c>
      <c r="J45" s="2" t="s">
        <v>82</v>
      </c>
      <c r="K45" s="2" t="s">
        <v>24</v>
      </c>
      <c r="L45" s="4">
        <v>4</v>
      </c>
      <c r="M45" s="2" t="s">
        <v>151</v>
      </c>
      <c r="N45" s="2"/>
      <c r="O45" s="3" t="s">
        <v>263</v>
      </c>
    </row>
    <row r="46" spans="1:15" ht="30" x14ac:dyDescent="0.25">
      <c r="A46" s="2">
        <v>45</v>
      </c>
      <c r="B46" s="2" t="s">
        <v>15</v>
      </c>
      <c r="C46" s="2" t="s">
        <v>251</v>
      </c>
      <c r="D46" s="2" t="s">
        <v>265</v>
      </c>
      <c r="E46" s="2" t="s">
        <v>266</v>
      </c>
      <c r="F46" s="3" t="s">
        <v>267</v>
      </c>
      <c r="G46" s="2" t="s">
        <v>268</v>
      </c>
      <c r="H46" s="2" t="s">
        <v>269</v>
      </c>
      <c r="I46" s="2" t="s">
        <v>270</v>
      </c>
      <c r="J46" s="2" t="s">
        <v>166</v>
      </c>
      <c r="K46" s="2" t="s">
        <v>33</v>
      </c>
      <c r="L46" s="4">
        <v>4</v>
      </c>
      <c r="M46" s="2" t="s">
        <v>271</v>
      </c>
      <c r="N46" s="2"/>
      <c r="O46" s="3" t="s">
        <v>267</v>
      </c>
    </row>
    <row r="47" spans="1:15" x14ac:dyDescent="0.25">
      <c r="A47" s="2">
        <v>46</v>
      </c>
      <c r="B47" s="2" t="s">
        <v>272</v>
      </c>
      <c r="C47" s="2" t="s">
        <v>273</v>
      </c>
      <c r="D47" s="2" t="s">
        <v>274</v>
      </c>
      <c r="E47" s="2" t="s">
        <v>275</v>
      </c>
      <c r="F47" s="3" t="s">
        <v>276</v>
      </c>
      <c r="G47" s="2" t="s">
        <v>20</v>
      </c>
      <c r="H47" s="2" t="s">
        <v>133</v>
      </c>
      <c r="I47" s="2" t="s">
        <v>22</v>
      </c>
      <c r="J47" s="2" t="s">
        <v>240</v>
      </c>
      <c r="K47" s="2" t="s">
        <v>70</v>
      </c>
      <c r="L47" s="4">
        <v>5</v>
      </c>
      <c r="M47" s="2" t="s">
        <v>277</v>
      </c>
      <c r="N47" s="2"/>
      <c r="O47" s="3" t="s">
        <v>276</v>
      </c>
    </row>
    <row r="48" spans="1:15" x14ac:dyDescent="0.25">
      <c r="A48" s="2">
        <v>47</v>
      </c>
      <c r="B48" s="2" t="s">
        <v>272</v>
      </c>
      <c r="C48" s="2" t="s">
        <v>273</v>
      </c>
      <c r="D48" s="2" t="s">
        <v>274</v>
      </c>
      <c r="E48" s="2" t="s">
        <v>278</v>
      </c>
      <c r="F48" s="3" t="s">
        <v>279</v>
      </c>
      <c r="G48" s="2" t="s">
        <v>67</v>
      </c>
      <c r="H48" s="2" t="s">
        <v>140</v>
      </c>
      <c r="I48" s="2" t="s">
        <v>22</v>
      </c>
      <c r="J48" s="2" t="s">
        <v>280</v>
      </c>
      <c r="K48" s="2" t="s">
        <v>70</v>
      </c>
      <c r="L48" s="4">
        <v>4</v>
      </c>
      <c r="M48" s="2" t="s">
        <v>281</v>
      </c>
      <c r="N48" s="2"/>
      <c r="O48" s="3" t="s">
        <v>279</v>
      </c>
    </row>
    <row r="49" spans="1:15" ht="30" x14ac:dyDescent="0.25">
      <c r="A49" s="2">
        <v>48</v>
      </c>
      <c r="B49" s="2" t="s">
        <v>272</v>
      </c>
      <c r="C49" s="2" t="s">
        <v>273</v>
      </c>
      <c r="D49" s="2" t="s">
        <v>274</v>
      </c>
      <c r="E49" s="2" t="s">
        <v>282</v>
      </c>
      <c r="F49" s="3" t="s">
        <v>283</v>
      </c>
      <c r="G49" s="2" t="s">
        <v>284</v>
      </c>
      <c r="H49" s="2" t="s">
        <v>285</v>
      </c>
      <c r="I49" s="2" t="s">
        <v>22</v>
      </c>
      <c r="J49" s="2" t="s">
        <v>286</v>
      </c>
      <c r="K49" s="2" t="s">
        <v>24</v>
      </c>
      <c r="L49" s="4">
        <v>5</v>
      </c>
      <c r="M49" s="2" t="s">
        <v>287</v>
      </c>
      <c r="N49" s="2"/>
      <c r="O49" s="3" t="s">
        <v>283</v>
      </c>
    </row>
    <row r="50" spans="1:15" ht="30" x14ac:dyDescent="0.25">
      <c r="A50" s="2">
        <v>49</v>
      </c>
      <c r="B50" s="2" t="s">
        <v>272</v>
      </c>
      <c r="C50" s="2" t="s">
        <v>273</v>
      </c>
      <c r="D50" s="2" t="s">
        <v>274</v>
      </c>
      <c r="E50" s="2" t="s">
        <v>288</v>
      </c>
      <c r="F50" s="3" t="s">
        <v>289</v>
      </c>
      <c r="G50" s="2" t="s">
        <v>74</v>
      </c>
      <c r="H50" s="2" t="s">
        <v>290</v>
      </c>
      <c r="I50" s="2" t="s">
        <v>22</v>
      </c>
      <c r="J50" s="2" t="s">
        <v>291</v>
      </c>
      <c r="K50" s="2" t="s">
        <v>24</v>
      </c>
      <c r="L50" s="4">
        <v>4</v>
      </c>
      <c r="M50" s="2" t="s">
        <v>151</v>
      </c>
      <c r="N50" s="2"/>
      <c r="O50" s="3" t="s">
        <v>289</v>
      </c>
    </row>
    <row r="51" spans="1:15" x14ac:dyDescent="0.25">
      <c r="A51" s="2">
        <v>50</v>
      </c>
      <c r="B51" s="2" t="s">
        <v>272</v>
      </c>
      <c r="C51" s="2" t="s">
        <v>273</v>
      </c>
      <c r="D51" s="2" t="s">
        <v>292</v>
      </c>
      <c r="E51" s="2" t="s">
        <v>293</v>
      </c>
      <c r="F51" s="3" t="s">
        <v>294</v>
      </c>
      <c r="G51" s="2" t="s">
        <v>61</v>
      </c>
      <c r="H51" s="2" t="s">
        <v>255</v>
      </c>
      <c r="I51" s="2" t="s">
        <v>22</v>
      </c>
      <c r="J51" s="2" t="s">
        <v>122</v>
      </c>
      <c r="K51" s="2" t="s">
        <v>70</v>
      </c>
      <c r="L51" s="4">
        <v>4</v>
      </c>
      <c r="M51" s="2" t="s">
        <v>151</v>
      </c>
      <c r="N51" s="2"/>
      <c r="O51" s="3" t="s">
        <v>294</v>
      </c>
    </row>
    <row r="52" spans="1:15" ht="30" x14ac:dyDescent="0.25">
      <c r="A52" s="2">
        <v>51</v>
      </c>
      <c r="B52" s="2" t="s">
        <v>272</v>
      </c>
      <c r="C52" s="2" t="s">
        <v>273</v>
      </c>
      <c r="D52" s="2" t="s">
        <v>292</v>
      </c>
      <c r="E52" s="2" t="s">
        <v>295</v>
      </c>
      <c r="F52" s="3" t="s">
        <v>296</v>
      </c>
      <c r="G52" s="2" t="s">
        <v>38</v>
      </c>
      <c r="H52" s="2" t="s">
        <v>297</v>
      </c>
      <c r="I52" s="2" t="s">
        <v>31</v>
      </c>
      <c r="J52" s="2" t="s">
        <v>298</v>
      </c>
      <c r="K52" s="2" t="s">
        <v>33</v>
      </c>
      <c r="L52" s="4">
        <v>4</v>
      </c>
      <c r="M52" s="2" t="s">
        <v>299</v>
      </c>
      <c r="N52" s="2"/>
      <c r="O52" s="3" t="s">
        <v>296</v>
      </c>
    </row>
    <row r="53" spans="1:15" ht="30" x14ac:dyDescent="0.25">
      <c r="A53" s="2">
        <v>52</v>
      </c>
      <c r="B53" s="2" t="s">
        <v>272</v>
      </c>
      <c r="C53" s="2" t="s">
        <v>300</v>
      </c>
      <c r="D53" s="2" t="s">
        <v>301</v>
      </c>
      <c r="E53" s="2" t="s">
        <v>302</v>
      </c>
      <c r="F53" s="3" t="s">
        <v>303</v>
      </c>
      <c r="G53" s="2" t="s">
        <v>67</v>
      </c>
      <c r="H53" s="2" t="s">
        <v>304</v>
      </c>
      <c r="I53" s="2" t="s">
        <v>22</v>
      </c>
      <c r="J53" s="2" t="s">
        <v>305</v>
      </c>
      <c r="K53" s="2" t="s">
        <v>24</v>
      </c>
      <c r="L53" s="4">
        <v>4</v>
      </c>
      <c r="M53" s="2" t="s">
        <v>151</v>
      </c>
      <c r="N53" s="2"/>
      <c r="O53" s="3" t="s">
        <v>303</v>
      </c>
    </row>
    <row r="54" spans="1:15" x14ac:dyDescent="0.25">
      <c r="A54" s="2">
        <v>53</v>
      </c>
      <c r="B54" s="2" t="s">
        <v>272</v>
      </c>
      <c r="C54" s="2" t="s">
        <v>300</v>
      </c>
      <c r="D54" s="2" t="s">
        <v>301</v>
      </c>
      <c r="E54" s="2" t="s">
        <v>306</v>
      </c>
      <c r="F54" s="3" t="s">
        <v>307</v>
      </c>
      <c r="G54" s="2" t="s">
        <v>74</v>
      </c>
      <c r="H54" s="2" t="s">
        <v>308</v>
      </c>
      <c r="I54" s="2" t="s">
        <v>22</v>
      </c>
      <c r="J54" s="2" t="s">
        <v>87</v>
      </c>
      <c r="K54" s="2" t="s">
        <v>24</v>
      </c>
      <c r="L54" s="4">
        <v>4</v>
      </c>
      <c r="M54" s="2" t="s">
        <v>151</v>
      </c>
      <c r="N54" s="2"/>
      <c r="O54" s="3" t="s">
        <v>307</v>
      </c>
    </row>
    <row r="55" spans="1:15" x14ac:dyDescent="0.25">
      <c r="A55" s="2">
        <v>54</v>
      </c>
      <c r="B55" s="2" t="s">
        <v>272</v>
      </c>
      <c r="C55" s="2" t="s">
        <v>309</v>
      </c>
      <c r="D55" s="2" t="s">
        <v>310</v>
      </c>
      <c r="E55" s="2" t="s">
        <v>311</v>
      </c>
      <c r="F55" s="3" t="s">
        <v>312</v>
      </c>
      <c r="G55" s="2" t="s">
        <v>20</v>
      </c>
      <c r="H55" s="2" t="s">
        <v>313</v>
      </c>
      <c r="I55" s="2" t="s">
        <v>22</v>
      </c>
      <c r="J55" s="2" t="s">
        <v>63</v>
      </c>
      <c r="K55" s="2" t="s">
        <v>24</v>
      </c>
      <c r="L55" s="4">
        <v>5</v>
      </c>
      <c r="M55" s="2" t="s">
        <v>314</v>
      </c>
      <c r="N55" s="2"/>
      <c r="O55" s="3" t="s">
        <v>312</v>
      </c>
    </row>
    <row r="56" spans="1:15" ht="30" x14ac:dyDescent="0.25">
      <c r="A56" s="2">
        <v>55</v>
      </c>
      <c r="B56" s="2" t="s">
        <v>272</v>
      </c>
      <c r="C56" s="2" t="s">
        <v>309</v>
      </c>
      <c r="D56" s="2" t="s">
        <v>310</v>
      </c>
      <c r="E56" s="2" t="s">
        <v>315</v>
      </c>
      <c r="F56" s="3" t="s">
        <v>316</v>
      </c>
      <c r="G56" s="2" t="s">
        <v>61</v>
      </c>
      <c r="H56" s="2" t="s">
        <v>317</v>
      </c>
      <c r="I56" s="2" t="s">
        <v>318</v>
      </c>
      <c r="J56" s="2" t="s">
        <v>319</v>
      </c>
      <c r="K56" s="2" t="s">
        <v>159</v>
      </c>
      <c r="L56" s="4">
        <v>3</v>
      </c>
      <c r="M56" s="2" t="s">
        <v>246</v>
      </c>
      <c r="N56" s="2"/>
      <c r="O56" s="3" t="s">
        <v>316</v>
      </c>
    </row>
    <row r="57" spans="1:15" x14ac:dyDescent="0.25">
      <c r="A57" s="2">
        <v>56</v>
      </c>
      <c r="B57" s="2" t="s">
        <v>272</v>
      </c>
      <c r="C57" s="2" t="s">
        <v>320</v>
      </c>
      <c r="D57" s="2" t="s">
        <v>321</v>
      </c>
      <c r="E57" s="2" t="s">
        <v>322</v>
      </c>
      <c r="F57" s="3" t="s">
        <v>323</v>
      </c>
      <c r="G57" s="2" t="s">
        <v>20</v>
      </c>
      <c r="H57" s="2" t="s">
        <v>324</v>
      </c>
      <c r="I57" s="2" t="s">
        <v>22</v>
      </c>
      <c r="J57" s="2" t="s">
        <v>325</v>
      </c>
      <c r="K57" s="2" t="s">
        <v>70</v>
      </c>
      <c r="L57" s="4">
        <v>5</v>
      </c>
      <c r="M57" s="2" t="s">
        <v>326</v>
      </c>
      <c r="N57" s="2"/>
      <c r="O57" s="3" t="s">
        <v>323</v>
      </c>
    </row>
    <row r="58" spans="1:15" x14ac:dyDescent="0.25">
      <c r="A58" s="2">
        <v>57</v>
      </c>
      <c r="B58" s="2" t="s">
        <v>272</v>
      </c>
      <c r="C58" s="2" t="s">
        <v>320</v>
      </c>
      <c r="D58" s="2" t="s">
        <v>321</v>
      </c>
      <c r="E58" s="2" t="s">
        <v>327</v>
      </c>
      <c r="F58" s="3" t="s">
        <v>328</v>
      </c>
      <c r="G58" s="2" t="s">
        <v>329</v>
      </c>
      <c r="H58" s="2" t="s">
        <v>330</v>
      </c>
      <c r="I58" s="2" t="s">
        <v>22</v>
      </c>
      <c r="J58" s="2" t="s">
        <v>331</v>
      </c>
      <c r="K58" s="2" t="s">
        <v>24</v>
      </c>
      <c r="L58" s="4">
        <v>4</v>
      </c>
      <c r="M58" s="2" t="s">
        <v>151</v>
      </c>
      <c r="N58" s="2"/>
      <c r="O58" s="3" t="s">
        <v>328</v>
      </c>
    </row>
    <row r="59" spans="1:15" x14ac:dyDescent="0.25">
      <c r="A59" s="2">
        <v>58</v>
      </c>
      <c r="B59" s="2" t="s">
        <v>272</v>
      </c>
      <c r="C59" s="2" t="s">
        <v>320</v>
      </c>
      <c r="D59" s="2" t="s">
        <v>321</v>
      </c>
      <c r="E59" s="2" t="s">
        <v>332</v>
      </c>
      <c r="F59" s="3" t="s">
        <v>333</v>
      </c>
      <c r="G59" s="2" t="s">
        <v>61</v>
      </c>
      <c r="H59" s="2" t="s">
        <v>317</v>
      </c>
      <c r="I59" s="2" t="s">
        <v>334</v>
      </c>
      <c r="J59" s="2" t="s">
        <v>158</v>
      </c>
      <c r="K59" s="2" t="s">
        <v>159</v>
      </c>
      <c r="L59" s="4">
        <v>2</v>
      </c>
      <c r="M59" s="2" t="s">
        <v>246</v>
      </c>
      <c r="N59" s="2"/>
      <c r="O59" s="3" t="s">
        <v>333</v>
      </c>
    </row>
    <row r="60" spans="1:15" ht="30" x14ac:dyDescent="0.25">
      <c r="A60" s="2">
        <v>59</v>
      </c>
      <c r="B60" s="2" t="s">
        <v>272</v>
      </c>
      <c r="C60" s="2" t="s">
        <v>335</v>
      </c>
      <c r="D60" s="2" t="s">
        <v>336</v>
      </c>
      <c r="E60" s="2" t="s">
        <v>337</v>
      </c>
      <c r="F60" s="3" t="s">
        <v>338</v>
      </c>
      <c r="G60" s="2" t="s">
        <v>61</v>
      </c>
      <c r="H60" s="2" t="s">
        <v>317</v>
      </c>
      <c r="I60" s="2" t="s">
        <v>22</v>
      </c>
      <c r="J60" s="2" t="s">
        <v>134</v>
      </c>
      <c r="K60" s="2" t="s">
        <v>24</v>
      </c>
      <c r="L60" s="4">
        <v>3</v>
      </c>
      <c r="M60" s="2" t="s">
        <v>246</v>
      </c>
      <c r="N60" s="2"/>
      <c r="O60" s="3" t="s">
        <v>338</v>
      </c>
    </row>
    <row r="61" spans="1:15" x14ac:dyDescent="0.25">
      <c r="A61" s="2">
        <v>60</v>
      </c>
      <c r="B61" s="2" t="s">
        <v>272</v>
      </c>
      <c r="C61" s="2" t="s">
        <v>339</v>
      </c>
      <c r="D61" s="2" t="s">
        <v>340</v>
      </c>
      <c r="E61" s="2" t="s">
        <v>341</v>
      </c>
      <c r="F61" s="3" t="s">
        <v>342</v>
      </c>
      <c r="G61" s="2" t="s">
        <v>343</v>
      </c>
      <c r="H61" s="2" t="s">
        <v>344</v>
      </c>
      <c r="I61" s="2" t="s">
        <v>22</v>
      </c>
      <c r="J61" s="2" t="s">
        <v>345</v>
      </c>
      <c r="K61" s="2" t="s">
        <v>159</v>
      </c>
      <c r="L61" s="4">
        <v>4</v>
      </c>
      <c r="M61" s="2" t="s">
        <v>151</v>
      </c>
      <c r="N61" s="2"/>
      <c r="O61" s="3" t="s">
        <v>342</v>
      </c>
    </row>
    <row r="62" spans="1:15" x14ac:dyDescent="0.25">
      <c r="A62" s="2">
        <v>61</v>
      </c>
      <c r="B62" s="2" t="s">
        <v>346</v>
      </c>
      <c r="C62" s="2" t="s">
        <v>347</v>
      </c>
      <c r="D62" s="2" t="s">
        <v>348</v>
      </c>
      <c r="E62" s="2" t="s">
        <v>349</v>
      </c>
      <c r="F62" s="3" t="s">
        <v>350</v>
      </c>
      <c r="G62" s="2" t="s">
        <v>20</v>
      </c>
      <c r="H62" s="2" t="s">
        <v>351</v>
      </c>
      <c r="I62" s="2" t="s">
        <v>22</v>
      </c>
      <c r="J62" s="2" t="s">
        <v>352</v>
      </c>
      <c r="K62" s="2" t="s">
        <v>70</v>
      </c>
      <c r="L62" s="4">
        <v>4</v>
      </c>
      <c r="M62" s="2" t="s">
        <v>151</v>
      </c>
      <c r="N62" s="2"/>
      <c r="O62" s="3" t="s">
        <v>350</v>
      </c>
    </row>
    <row r="63" spans="1:15" x14ac:dyDescent="0.25">
      <c r="A63" s="2">
        <v>62</v>
      </c>
      <c r="B63" s="2" t="s">
        <v>346</v>
      </c>
      <c r="C63" s="2" t="s">
        <v>353</v>
      </c>
      <c r="D63" s="2" t="s">
        <v>354</v>
      </c>
      <c r="E63" s="2" t="s">
        <v>355</v>
      </c>
      <c r="F63" s="3" t="s">
        <v>356</v>
      </c>
      <c r="G63" s="2" t="s">
        <v>61</v>
      </c>
      <c r="H63" s="2" t="s">
        <v>357</v>
      </c>
      <c r="I63" s="2" t="s">
        <v>22</v>
      </c>
      <c r="J63" s="2" t="s">
        <v>196</v>
      </c>
      <c r="K63" s="2" t="s">
        <v>24</v>
      </c>
      <c r="L63" s="4">
        <v>4</v>
      </c>
      <c r="M63" s="2" t="s">
        <v>271</v>
      </c>
      <c r="N63" s="2"/>
      <c r="O63" s="3" t="s">
        <v>356</v>
      </c>
    </row>
    <row r="64" spans="1:15" x14ac:dyDescent="0.25">
      <c r="A64" s="2">
        <v>63</v>
      </c>
      <c r="B64" s="2" t="s">
        <v>346</v>
      </c>
      <c r="C64" s="2" t="s">
        <v>353</v>
      </c>
      <c r="D64" s="2" t="s">
        <v>358</v>
      </c>
      <c r="E64" s="2" t="s">
        <v>359</v>
      </c>
      <c r="F64" s="3" t="s">
        <v>360</v>
      </c>
      <c r="G64" s="2" t="s">
        <v>38</v>
      </c>
      <c r="H64" s="2" t="s">
        <v>361</v>
      </c>
      <c r="I64" s="2" t="s">
        <v>31</v>
      </c>
      <c r="J64" s="2" t="s">
        <v>52</v>
      </c>
      <c r="K64" s="2" t="s">
        <v>33</v>
      </c>
      <c r="L64" s="4">
        <v>2</v>
      </c>
      <c r="M64" s="2" t="s">
        <v>246</v>
      </c>
      <c r="N64" s="2"/>
      <c r="O64" s="3" t="s">
        <v>360</v>
      </c>
    </row>
    <row r="65" spans="1:15" ht="30" x14ac:dyDescent="0.25">
      <c r="A65" s="2">
        <v>64</v>
      </c>
      <c r="B65" s="2" t="s">
        <v>346</v>
      </c>
      <c r="C65" s="2" t="s">
        <v>362</v>
      </c>
      <c r="D65" s="2" t="s">
        <v>363</v>
      </c>
      <c r="E65" s="2" t="s">
        <v>364</v>
      </c>
      <c r="F65" s="3" t="s">
        <v>365</v>
      </c>
      <c r="G65" s="2" t="s">
        <v>366</v>
      </c>
      <c r="H65" s="2" t="s">
        <v>367</v>
      </c>
      <c r="I65" s="2" t="s">
        <v>22</v>
      </c>
      <c r="J65" s="2" t="s">
        <v>127</v>
      </c>
      <c r="K65" s="2" t="s">
        <v>159</v>
      </c>
      <c r="L65" s="4">
        <v>3</v>
      </c>
      <c r="M65" s="2" t="s">
        <v>246</v>
      </c>
      <c r="N65" s="2"/>
      <c r="O65" s="3" t="s">
        <v>365</v>
      </c>
    </row>
    <row r="66" spans="1:15" ht="30" x14ac:dyDescent="0.25">
      <c r="A66" s="2">
        <v>65</v>
      </c>
      <c r="B66" s="2" t="s">
        <v>346</v>
      </c>
      <c r="C66" s="2" t="s">
        <v>368</v>
      </c>
      <c r="D66" s="2" t="s">
        <v>369</v>
      </c>
      <c r="E66" s="2" t="s">
        <v>370</v>
      </c>
      <c r="F66" s="3" t="s">
        <v>371</v>
      </c>
      <c r="G66" s="2" t="s">
        <v>372</v>
      </c>
      <c r="H66" s="2" t="s">
        <v>373</v>
      </c>
      <c r="I66" s="2" t="s">
        <v>245</v>
      </c>
      <c r="J66" s="2" t="s">
        <v>52</v>
      </c>
      <c r="K66" s="2" t="s">
        <v>159</v>
      </c>
      <c r="L66" s="4">
        <v>2</v>
      </c>
      <c r="M66" s="2" t="s">
        <v>246</v>
      </c>
      <c r="N66" s="2"/>
      <c r="O66" s="3" t="s">
        <v>371</v>
      </c>
    </row>
    <row r="67" spans="1:15" ht="30" x14ac:dyDescent="0.25">
      <c r="A67" s="2">
        <v>66</v>
      </c>
      <c r="B67" s="2" t="s">
        <v>374</v>
      </c>
      <c r="C67" s="2" t="s">
        <v>375</v>
      </c>
      <c r="D67" s="2" t="s">
        <v>376</v>
      </c>
      <c r="E67" s="2" t="s">
        <v>377</v>
      </c>
      <c r="F67" s="3" t="s">
        <v>378</v>
      </c>
      <c r="G67" s="2" t="s">
        <v>20</v>
      </c>
      <c r="H67" s="2" t="s">
        <v>379</v>
      </c>
      <c r="I67" s="2" t="s">
        <v>22</v>
      </c>
      <c r="J67" s="2" t="s">
        <v>380</v>
      </c>
      <c r="K67" s="2" t="s">
        <v>24</v>
      </c>
      <c r="L67" s="4">
        <v>5</v>
      </c>
      <c r="M67" s="2" t="s">
        <v>381</v>
      </c>
      <c r="N67" s="2"/>
      <c r="O67" s="3" t="s">
        <v>378</v>
      </c>
    </row>
    <row r="68" spans="1:15" x14ac:dyDescent="0.25">
      <c r="A68" s="2">
        <v>67</v>
      </c>
      <c r="B68" s="2" t="s">
        <v>374</v>
      </c>
      <c r="C68" s="2" t="s">
        <v>375</v>
      </c>
      <c r="D68" s="2" t="s">
        <v>376</v>
      </c>
      <c r="E68" s="2" t="s">
        <v>382</v>
      </c>
      <c r="F68" s="3" t="s">
        <v>383</v>
      </c>
      <c r="G68" s="2" t="s">
        <v>74</v>
      </c>
      <c r="H68" s="2" t="s">
        <v>384</v>
      </c>
      <c r="I68" s="2" t="s">
        <v>22</v>
      </c>
      <c r="J68" s="2" t="s">
        <v>122</v>
      </c>
      <c r="K68" s="2" t="s">
        <v>70</v>
      </c>
      <c r="L68" s="4">
        <v>5</v>
      </c>
      <c r="M68" s="2" t="s">
        <v>385</v>
      </c>
      <c r="N68" s="2"/>
      <c r="O68" s="3" t="s">
        <v>383</v>
      </c>
    </row>
    <row r="69" spans="1:15" x14ac:dyDescent="0.25">
      <c r="A69" s="2">
        <v>68</v>
      </c>
      <c r="B69" s="2" t="s">
        <v>374</v>
      </c>
      <c r="C69" s="2" t="s">
        <v>375</v>
      </c>
      <c r="D69" s="2" t="s">
        <v>386</v>
      </c>
      <c r="E69" s="2" t="s">
        <v>387</v>
      </c>
      <c r="F69" s="3" t="s">
        <v>388</v>
      </c>
      <c r="G69" s="2" t="s">
        <v>61</v>
      </c>
      <c r="H69" s="2" t="s">
        <v>317</v>
      </c>
      <c r="I69" s="2" t="s">
        <v>22</v>
      </c>
      <c r="J69" s="2" t="s">
        <v>200</v>
      </c>
      <c r="K69" s="2" t="s">
        <v>70</v>
      </c>
      <c r="L69" s="4">
        <v>4</v>
      </c>
      <c r="M69" s="2" t="s">
        <v>151</v>
      </c>
      <c r="N69" s="2"/>
      <c r="O69" s="3" t="s">
        <v>388</v>
      </c>
    </row>
    <row r="70" spans="1:15" x14ac:dyDescent="0.25">
      <c r="A70" s="2">
        <v>69</v>
      </c>
      <c r="B70" s="2" t="s">
        <v>374</v>
      </c>
      <c r="C70" s="2" t="s">
        <v>375</v>
      </c>
      <c r="D70" s="2" t="s">
        <v>386</v>
      </c>
      <c r="E70" s="2" t="s">
        <v>389</v>
      </c>
      <c r="F70" s="3" t="s">
        <v>390</v>
      </c>
      <c r="G70" s="2" t="s">
        <v>67</v>
      </c>
      <c r="H70" s="2" t="s">
        <v>391</v>
      </c>
      <c r="I70" s="2" t="s">
        <v>22</v>
      </c>
      <c r="J70" s="2" t="s">
        <v>331</v>
      </c>
      <c r="K70" s="2" t="s">
        <v>24</v>
      </c>
      <c r="L70" s="4">
        <v>5</v>
      </c>
      <c r="M70" s="2" t="s">
        <v>392</v>
      </c>
      <c r="N70" s="2"/>
      <c r="O70" s="3" t="s">
        <v>390</v>
      </c>
    </row>
    <row r="71" spans="1:15" x14ac:dyDescent="0.25">
      <c r="A71" s="2">
        <v>70</v>
      </c>
      <c r="B71" s="2" t="s">
        <v>374</v>
      </c>
      <c r="C71" s="2" t="s">
        <v>375</v>
      </c>
      <c r="D71" s="2" t="s">
        <v>393</v>
      </c>
      <c r="E71" s="2" t="s">
        <v>394</v>
      </c>
      <c r="F71" s="3" t="s">
        <v>395</v>
      </c>
      <c r="G71" s="2" t="s">
        <v>343</v>
      </c>
      <c r="H71" s="2" t="s">
        <v>396</v>
      </c>
      <c r="I71" s="2" t="s">
        <v>22</v>
      </c>
      <c r="J71" s="2" t="s">
        <v>397</v>
      </c>
      <c r="K71" s="2" t="s">
        <v>70</v>
      </c>
      <c r="L71" s="4">
        <v>4</v>
      </c>
      <c r="M71" s="2" t="s">
        <v>151</v>
      </c>
      <c r="N71" s="2"/>
      <c r="O71" s="3" t="s">
        <v>395</v>
      </c>
    </row>
    <row r="72" spans="1:15" x14ac:dyDescent="0.25">
      <c r="A72" s="2">
        <v>71</v>
      </c>
      <c r="B72" s="2" t="s">
        <v>374</v>
      </c>
      <c r="C72" s="2" t="s">
        <v>398</v>
      </c>
      <c r="D72" s="2" t="s">
        <v>399</v>
      </c>
      <c r="E72" s="2" t="s">
        <v>400</v>
      </c>
      <c r="F72" s="3" t="s">
        <v>401</v>
      </c>
      <c r="G72" s="2" t="s">
        <v>20</v>
      </c>
      <c r="H72" s="2" t="s">
        <v>402</v>
      </c>
      <c r="I72" s="2" t="s">
        <v>22</v>
      </c>
      <c r="J72" s="2" t="s">
        <v>403</v>
      </c>
      <c r="K72" s="2" t="s">
        <v>70</v>
      </c>
      <c r="L72" s="4">
        <v>5</v>
      </c>
      <c r="M72" s="2" t="s">
        <v>404</v>
      </c>
      <c r="N72" s="2"/>
      <c r="O72" s="3" t="s">
        <v>401</v>
      </c>
    </row>
    <row r="73" spans="1:15" x14ac:dyDescent="0.25">
      <c r="A73" s="2">
        <v>72</v>
      </c>
      <c r="B73" s="2" t="s">
        <v>374</v>
      </c>
      <c r="C73" s="2" t="s">
        <v>398</v>
      </c>
      <c r="D73" s="2" t="s">
        <v>405</v>
      </c>
      <c r="E73" s="2" t="s">
        <v>406</v>
      </c>
      <c r="F73" s="3" t="s">
        <v>407</v>
      </c>
      <c r="G73" s="2" t="s">
        <v>61</v>
      </c>
      <c r="H73" s="2" t="s">
        <v>408</v>
      </c>
      <c r="I73" s="2" t="s">
        <v>22</v>
      </c>
      <c r="J73" s="2" t="s">
        <v>409</v>
      </c>
      <c r="K73" s="2" t="s">
        <v>24</v>
      </c>
      <c r="L73" s="4">
        <v>4</v>
      </c>
      <c r="M73" s="2" t="s">
        <v>151</v>
      </c>
      <c r="N73" s="2"/>
      <c r="O73" s="3" t="s">
        <v>407</v>
      </c>
    </row>
    <row r="74" spans="1:15" ht="30" x14ac:dyDescent="0.25">
      <c r="A74" s="2">
        <v>73</v>
      </c>
      <c r="B74" s="2" t="s">
        <v>374</v>
      </c>
      <c r="C74" s="2" t="s">
        <v>398</v>
      </c>
      <c r="D74" s="2" t="s">
        <v>405</v>
      </c>
      <c r="E74" s="2" t="s">
        <v>410</v>
      </c>
      <c r="F74" s="3" t="s">
        <v>411</v>
      </c>
      <c r="G74" s="2" t="s">
        <v>74</v>
      </c>
      <c r="H74" s="2" t="s">
        <v>412</v>
      </c>
      <c r="I74" s="2" t="s">
        <v>31</v>
      </c>
      <c r="J74" s="2" t="s">
        <v>182</v>
      </c>
      <c r="K74" s="2" t="s">
        <v>33</v>
      </c>
      <c r="L74" s="4">
        <v>5</v>
      </c>
      <c r="M74" s="2" t="s">
        <v>413</v>
      </c>
      <c r="N74" s="2"/>
      <c r="O74" s="3" t="s">
        <v>411</v>
      </c>
    </row>
    <row r="75" spans="1:15" ht="30" x14ac:dyDescent="0.25">
      <c r="A75" s="2">
        <v>74</v>
      </c>
      <c r="B75" s="2" t="s">
        <v>374</v>
      </c>
      <c r="C75" s="2" t="s">
        <v>398</v>
      </c>
      <c r="D75" s="2" t="s">
        <v>399</v>
      </c>
      <c r="E75" s="2" t="s">
        <v>414</v>
      </c>
      <c r="F75" s="3" t="s">
        <v>415</v>
      </c>
      <c r="G75" s="2" t="s">
        <v>416</v>
      </c>
      <c r="H75" s="2" t="s">
        <v>417</v>
      </c>
      <c r="I75" s="2" t="s">
        <v>31</v>
      </c>
      <c r="J75" s="2" t="s">
        <v>82</v>
      </c>
      <c r="K75" s="2" t="s">
        <v>33</v>
      </c>
      <c r="L75" s="4">
        <v>4</v>
      </c>
      <c r="M75" s="2" t="s">
        <v>151</v>
      </c>
      <c r="N75" s="2"/>
      <c r="O75" s="3" t="s">
        <v>415</v>
      </c>
    </row>
    <row r="76" spans="1:15" x14ac:dyDescent="0.25">
      <c r="A76" s="2">
        <v>75</v>
      </c>
      <c r="B76" s="2" t="s">
        <v>374</v>
      </c>
      <c r="C76" s="2" t="s">
        <v>398</v>
      </c>
      <c r="D76" s="2" t="s">
        <v>399</v>
      </c>
      <c r="E76" s="2" t="s">
        <v>418</v>
      </c>
      <c r="F76" s="3" t="s">
        <v>419</v>
      </c>
      <c r="G76" s="2" t="s">
        <v>29</v>
      </c>
      <c r="H76" s="2" t="s">
        <v>420</v>
      </c>
      <c r="I76" s="2" t="s">
        <v>31</v>
      </c>
      <c r="J76" s="2" t="s">
        <v>52</v>
      </c>
      <c r="K76" s="2" t="s">
        <v>33</v>
      </c>
      <c r="L76" s="4">
        <v>3</v>
      </c>
      <c r="M76" s="2" t="s">
        <v>421</v>
      </c>
      <c r="N76" s="2"/>
      <c r="O76" s="3" t="s">
        <v>419</v>
      </c>
    </row>
    <row r="77" spans="1:15" ht="30" x14ac:dyDescent="0.25">
      <c r="A77" s="2">
        <v>76</v>
      </c>
      <c r="B77" s="2" t="s">
        <v>374</v>
      </c>
      <c r="C77" s="2" t="s">
        <v>398</v>
      </c>
      <c r="D77" s="2" t="s">
        <v>422</v>
      </c>
      <c r="E77" s="2" t="s">
        <v>423</v>
      </c>
      <c r="F77" s="3" t="s">
        <v>424</v>
      </c>
      <c r="G77" s="2" t="s">
        <v>425</v>
      </c>
      <c r="H77" s="2" t="s">
        <v>426</v>
      </c>
      <c r="I77" s="2" t="s">
        <v>31</v>
      </c>
      <c r="J77" s="2" t="s">
        <v>182</v>
      </c>
      <c r="K77" s="2" t="s">
        <v>33</v>
      </c>
      <c r="L77" s="4">
        <v>3</v>
      </c>
      <c r="M77" s="2" t="s">
        <v>246</v>
      </c>
      <c r="N77" s="2"/>
      <c r="O77" s="3" t="s">
        <v>424</v>
      </c>
    </row>
    <row r="78" spans="1:15" ht="30" x14ac:dyDescent="0.25">
      <c r="A78" s="2">
        <v>77</v>
      </c>
      <c r="B78" s="2" t="s">
        <v>374</v>
      </c>
      <c r="C78" s="2" t="s">
        <v>398</v>
      </c>
      <c r="D78" s="2" t="s">
        <v>427</v>
      </c>
      <c r="E78" s="2" t="s">
        <v>428</v>
      </c>
      <c r="F78" s="3" t="s">
        <v>429</v>
      </c>
      <c r="G78" s="2" t="s">
        <v>29</v>
      </c>
      <c r="H78" s="2" t="s">
        <v>430</v>
      </c>
      <c r="I78" s="2" t="s">
        <v>31</v>
      </c>
      <c r="J78" s="2" t="s">
        <v>166</v>
      </c>
      <c r="K78" s="2" t="s">
        <v>33</v>
      </c>
      <c r="L78" s="4">
        <v>3</v>
      </c>
      <c r="M78" s="2" t="s">
        <v>151</v>
      </c>
      <c r="N78" s="2"/>
      <c r="O78" s="3" t="s">
        <v>429</v>
      </c>
    </row>
    <row r="79" spans="1:15" x14ac:dyDescent="0.25">
      <c r="A79" s="2">
        <v>78</v>
      </c>
      <c r="B79" s="2" t="s">
        <v>374</v>
      </c>
      <c r="C79" s="2" t="s">
        <v>431</v>
      </c>
      <c r="D79" s="2" t="s">
        <v>432</v>
      </c>
      <c r="E79" s="2" t="s">
        <v>433</v>
      </c>
      <c r="F79" s="3" t="s">
        <v>434</v>
      </c>
      <c r="G79" s="2" t="s">
        <v>61</v>
      </c>
      <c r="H79" s="2" t="s">
        <v>435</v>
      </c>
      <c r="I79" s="2" t="s">
        <v>22</v>
      </c>
      <c r="J79" s="2" t="s">
        <v>380</v>
      </c>
      <c r="K79" s="2" t="s">
        <v>24</v>
      </c>
      <c r="L79" s="4">
        <v>4</v>
      </c>
      <c r="M79" s="2" t="s">
        <v>151</v>
      </c>
      <c r="N79" s="2"/>
      <c r="O79" s="3" t="s">
        <v>434</v>
      </c>
    </row>
    <row r="80" spans="1:15" ht="30" x14ac:dyDescent="0.25">
      <c r="A80" s="2">
        <v>79</v>
      </c>
      <c r="B80" s="2" t="s">
        <v>374</v>
      </c>
      <c r="C80" s="2" t="s">
        <v>431</v>
      </c>
      <c r="D80" s="2" t="s">
        <v>436</v>
      </c>
      <c r="E80" s="2" t="s">
        <v>437</v>
      </c>
      <c r="F80" s="3" t="s">
        <v>438</v>
      </c>
      <c r="G80" s="2" t="s">
        <v>229</v>
      </c>
      <c r="H80" s="2" t="s">
        <v>439</v>
      </c>
      <c r="I80" s="2" t="s">
        <v>22</v>
      </c>
      <c r="J80" s="2" t="s">
        <v>291</v>
      </c>
      <c r="K80" s="2" t="s">
        <v>24</v>
      </c>
      <c r="L80" s="4">
        <v>5</v>
      </c>
      <c r="M80" s="2" t="s">
        <v>440</v>
      </c>
      <c r="N80" s="2"/>
      <c r="O80" s="3" t="s">
        <v>438</v>
      </c>
    </row>
    <row r="81" spans="1:15" ht="30" x14ac:dyDescent="0.25">
      <c r="A81" s="2">
        <v>80</v>
      </c>
      <c r="B81" s="2" t="s">
        <v>374</v>
      </c>
      <c r="C81" s="2" t="s">
        <v>431</v>
      </c>
      <c r="D81" s="2" t="s">
        <v>441</v>
      </c>
      <c r="E81" s="2" t="s">
        <v>442</v>
      </c>
      <c r="F81" s="3" t="s">
        <v>443</v>
      </c>
      <c r="G81" s="2" t="s">
        <v>444</v>
      </c>
      <c r="H81" s="2" t="s">
        <v>445</v>
      </c>
      <c r="I81" s="2" t="s">
        <v>31</v>
      </c>
      <c r="J81" s="2" t="s">
        <v>319</v>
      </c>
      <c r="K81" s="2" t="s">
        <v>33</v>
      </c>
      <c r="L81" s="4">
        <v>4</v>
      </c>
      <c r="M81" s="2" t="s">
        <v>151</v>
      </c>
      <c r="N81" s="2"/>
      <c r="O81" s="3" t="s">
        <v>443</v>
      </c>
    </row>
    <row r="82" spans="1:15" ht="30" x14ac:dyDescent="0.25">
      <c r="A82" s="2">
        <v>81</v>
      </c>
      <c r="B82" s="2" t="s">
        <v>374</v>
      </c>
      <c r="C82" s="2" t="s">
        <v>431</v>
      </c>
      <c r="D82" s="2" t="s">
        <v>446</v>
      </c>
      <c r="E82" s="2" t="s">
        <v>447</v>
      </c>
      <c r="F82" s="3" t="s">
        <v>448</v>
      </c>
      <c r="G82" s="2" t="s">
        <v>180</v>
      </c>
      <c r="H82" s="2" t="s">
        <v>449</v>
      </c>
      <c r="I82" s="2" t="s">
        <v>22</v>
      </c>
      <c r="J82" s="2" t="s">
        <v>196</v>
      </c>
      <c r="K82" s="2" t="s">
        <v>24</v>
      </c>
      <c r="L82" s="4">
        <v>3</v>
      </c>
      <c r="M82" s="2" t="s">
        <v>183</v>
      </c>
      <c r="N82" s="2"/>
      <c r="O82" s="3" t="s">
        <v>448</v>
      </c>
    </row>
    <row r="83" spans="1:15" x14ac:dyDescent="0.25">
      <c r="A83" s="2">
        <v>82</v>
      </c>
      <c r="B83" s="2" t="s">
        <v>374</v>
      </c>
      <c r="C83" s="2" t="s">
        <v>431</v>
      </c>
      <c r="D83" s="2" t="s">
        <v>450</v>
      </c>
      <c r="E83" s="2" t="s">
        <v>451</v>
      </c>
      <c r="F83" s="3" t="s">
        <v>452</v>
      </c>
      <c r="G83" s="2" t="s">
        <v>453</v>
      </c>
      <c r="H83" s="2" t="s">
        <v>454</v>
      </c>
      <c r="I83" s="2" t="s">
        <v>31</v>
      </c>
      <c r="J83" s="2" t="s">
        <v>166</v>
      </c>
      <c r="K83" s="2" t="s">
        <v>33</v>
      </c>
      <c r="L83" s="4">
        <v>4</v>
      </c>
      <c r="M83" s="2" t="s">
        <v>151</v>
      </c>
      <c r="N83" s="2"/>
      <c r="O83" s="3" t="s">
        <v>452</v>
      </c>
    </row>
    <row r="84" spans="1:15" ht="30" x14ac:dyDescent="0.25">
      <c r="A84" s="2">
        <v>83</v>
      </c>
      <c r="B84" s="2" t="s">
        <v>374</v>
      </c>
      <c r="C84" s="2" t="s">
        <v>431</v>
      </c>
      <c r="D84" s="2" t="s">
        <v>455</v>
      </c>
      <c r="E84" s="2" t="s">
        <v>456</v>
      </c>
      <c r="F84" s="3" t="s">
        <v>457</v>
      </c>
      <c r="G84" s="2" t="s">
        <v>20</v>
      </c>
      <c r="H84" s="2" t="s">
        <v>458</v>
      </c>
      <c r="I84" s="2" t="s">
        <v>459</v>
      </c>
      <c r="J84" s="2" t="s">
        <v>182</v>
      </c>
      <c r="K84" s="2" t="s">
        <v>70</v>
      </c>
      <c r="L84" s="4">
        <v>4</v>
      </c>
      <c r="M84" s="2" t="s">
        <v>460</v>
      </c>
      <c r="N84" s="2"/>
      <c r="O84" s="3" t="s">
        <v>457</v>
      </c>
    </row>
    <row r="85" spans="1:15" x14ac:dyDescent="0.25">
      <c r="A85" s="2">
        <v>84</v>
      </c>
      <c r="B85" s="2" t="s">
        <v>374</v>
      </c>
      <c r="C85" s="2" t="s">
        <v>461</v>
      </c>
      <c r="D85" s="2" t="s">
        <v>462</v>
      </c>
      <c r="E85" s="2" t="s">
        <v>463</v>
      </c>
      <c r="F85" s="3" t="s">
        <v>464</v>
      </c>
      <c r="G85" s="2" t="s">
        <v>20</v>
      </c>
      <c r="H85" s="2" t="s">
        <v>465</v>
      </c>
      <c r="I85" s="2" t="s">
        <v>22</v>
      </c>
      <c r="J85" s="2" t="s">
        <v>69</v>
      </c>
      <c r="K85" s="2" t="s">
        <v>70</v>
      </c>
      <c r="L85" s="4">
        <v>4</v>
      </c>
      <c r="M85" s="2" t="s">
        <v>151</v>
      </c>
      <c r="N85" s="2"/>
      <c r="O85" s="3" t="s">
        <v>464</v>
      </c>
    </row>
    <row r="86" spans="1:15" x14ac:dyDescent="0.25">
      <c r="A86" s="2">
        <v>85</v>
      </c>
      <c r="B86" s="2" t="s">
        <v>374</v>
      </c>
      <c r="C86" s="2" t="s">
        <v>461</v>
      </c>
      <c r="D86" s="2" t="s">
        <v>462</v>
      </c>
      <c r="E86" s="2" t="s">
        <v>466</v>
      </c>
      <c r="F86" s="3" t="s">
        <v>467</v>
      </c>
      <c r="G86" s="2" t="s">
        <v>74</v>
      </c>
      <c r="H86" s="2" t="s">
        <v>468</v>
      </c>
      <c r="I86" s="2" t="s">
        <v>469</v>
      </c>
      <c r="J86" s="2" t="s">
        <v>158</v>
      </c>
      <c r="K86" s="2" t="s">
        <v>159</v>
      </c>
      <c r="L86" s="4">
        <v>3</v>
      </c>
      <c r="M86" s="2" t="s">
        <v>246</v>
      </c>
      <c r="N86" s="2"/>
      <c r="O86" s="3" t="s">
        <v>467</v>
      </c>
    </row>
    <row r="87" spans="1:15" x14ac:dyDescent="0.25">
      <c r="A87" s="2">
        <v>86</v>
      </c>
      <c r="B87" s="2" t="s">
        <v>374</v>
      </c>
      <c r="C87" s="2" t="s">
        <v>470</v>
      </c>
      <c r="D87" s="2" t="s">
        <v>471</v>
      </c>
      <c r="E87" s="2" t="s">
        <v>472</v>
      </c>
      <c r="F87" s="3" t="s">
        <v>473</v>
      </c>
      <c r="G87" s="2" t="s">
        <v>20</v>
      </c>
      <c r="H87" s="2" t="s">
        <v>474</v>
      </c>
      <c r="I87" s="2" t="s">
        <v>31</v>
      </c>
      <c r="J87" s="2" t="s">
        <v>82</v>
      </c>
      <c r="K87" s="2" t="s">
        <v>33</v>
      </c>
      <c r="L87" s="4">
        <v>4</v>
      </c>
      <c r="M87" s="2" t="s">
        <v>151</v>
      </c>
      <c r="N87" s="2"/>
      <c r="O87" s="3" t="s">
        <v>473</v>
      </c>
    </row>
    <row r="88" spans="1:15" x14ac:dyDescent="0.25">
      <c r="A88" s="2">
        <v>87</v>
      </c>
      <c r="B88" s="2" t="s">
        <v>374</v>
      </c>
      <c r="C88" s="2" t="s">
        <v>470</v>
      </c>
      <c r="D88" s="2" t="s">
        <v>475</v>
      </c>
      <c r="E88" s="2" t="s">
        <v>476</v>
      </c>
      <c r="F88" s="3" t="s">
        <v>477</v>
      </c>
      <c r="G88" s="2" t="s">
        <v>478</v>
      </c>
      <c r="H88" s="2" t="s">
        <v>479</v>
      </c>
      <c r="I88" s="2" t="s">
        <v>469</v>
      </c>
      <c r="J88" s="2" t="s">
        <v>52</v>
      </c>
      <c r="K88" s="2" t="s">
        <v>159</v>
      </c>
      <c r="L88" s="4">
        <v>2</v>
      </c>
      <c r="M88" s="2" t="s">
        <v>246</v>
      </c>
      <c r="N88" s="2"/>
      <c r="O88" s="3" t="s">
        <v>477</v>
      </c>
    </row>
    <row r="89" spans="1:15" x14ac:dyDescent="0.25">
      <c r="A89" s="2">
        <v>88</v>
      </c>
      <c r="B89" s="2" t="s">
        <v>374</v>
      </c>
      <c r="C89" s="2" t="s">
        <v>480</v>
      </c>
      <c r="D89" s="2" t="s">
        <v>481</v>
      </c>
      <c r="E89" s="2" t="s">
        <v>482</v>
      </c>
      <c r="F89" s="3" t="s">
        <v>483</v>
      </c>
      <c r="G89" s="2" t="s">
        <v>20</v>
      </c>
      <c r="H89" s="2" t="s">
        <v>484</v>
      </c>
      <c r="I89" s="2" t="s">
        <v>22</v>
      </c>
      <c r="J89" s="2" t="s">
        <v>69</v>
      </c>
      <c r="K89" s="2" t="s">
        <v>70</v>
      </c>
      <c r="L89" s="4">
        <v>4</v>
      </c>
      <c r="M89" s="2" t="s">
        <v>151</v>
      </c>
      <c r="N89" s="2"/>
      <c r="O89" s="3" t="s">
        <v>483</v>
      </c>
    </row>
    <row r="90" spans="1:15" x14ac:dyDescent="0.25">
      <c r="A90" s="2">
        <v>89</v>
      </c>
      <c r="B90" s="2" t="s">
        <v>374</v>
      </c>
      <c r="C90" s="2" t="s">
        <v>485</v>
      </c>
      <c r="D90" s="2" t="s">
        <v>486</v>
      </c>
      <c r="E90" s="2" t="s">
        <v>487</v>
      </c>
      <c r="F90" s="3" t="s">
        <v>488</v>
      </c>
      <c r="G90" s="2" t="s">
        <v>20</v>
      </c>
      <c r="H90" s="2" t="s">
        <v>489</v>
      </c>
      <c r="I90" s="2" t="s">
        <v>22</v>
      </c>
      <c r="J90" s="2" t="s">
        <v>69</v>
      </c>
      <c r="K90" s="2" t="s">
        <v>70</v>
      </c>
      <c r="L90" s="4">
        <v>3</v>
      </c>
      <c r="M90" s="2" t="s">
        <v>246</v>
      </c>
      <c r="N90" s="2"/>
      <c r="O90" s="3" t="s">
        <v>488</v>
      </c>
    </row>
    <row r="91" spans="1:15" x14ac:dyDescent="0.25">
      <c r="A91" s="2">
        <v>90</v>
      </c>
      <c r="B91" s="2" t="s">
        <v>374</v>
      </c>
      <c r="C91" s="2" t="s">
        <v>490</v>
      </c>
      <c r="D91" s="2" t="s">
        <v>491</v>
      </c>
      <c r="E91" s="2" t="s">
        <v>492</v>
      </c>
      <c r="F91" s="3" t="s">
        <v>493</v>
      </c>
      <c r="G91" s="2" t="s">
        <v>20</v>
      </c>
      <c r="H91" s="2" t="s">
        <v>494</v>
      </c>
      <c r="I91" s="2" t="s">
        <v>22</v>
      </c>
      <c r="J91" s="2" t="s">
        <v>380</v>
      </c>
      <c r="K91" s="2" t="s">
        <v>24</v>
      </c>
      <c r="L91" s="4">
        <v>3</v>
      </c>
      <c r="M91" s="2" t="s">
        <v>246</v>
      </c>
      <c r="N91" s="2"/>
      <c r="O91" s="3" t="s">
        <v>493</v>
      </c>
    </row>
    <row r="92" spans="1:15" x14ac:dyDescent="0.25">
      <c r="A92" s="2">
        <v>91</v>
      </c>
      <c r="B92" s="2" t="s">
        <v>374</v>
      </c>
      <c r="C92" s="2" t="s">
        <v>495</v>
      </c>
      <c r="D92" s="2" t="s">
        <v>496</v>
      </c>
      <c r="E92" s="2" t="s">
        <v>497</v>
      </c>
      <c r="F92" s="3" t="s">
        <v>498</v>
      </c>
      <c r="G92" s="2" t="s">
        <v>329</v>
      </c>
      <c r="H92" s="2" t="s">
        <v>499</v>
      </c>
      <c r="I92" s="2" t="s">
        <v>22</v>
      </c>
      <c r="J92" s="2" t="s">
        <v>291</v>
      </c>
      <c r="K92" s="2" t="s">
        <v>24</v>
      </c>
      <c r="L92" s="4">
        <v>3</v>
      </c>
      <c r="M92" s="2" t="s">
        <v>246</v>
      </c>
      <c r="N92" s="2"/>
      <c r="O92" s="3" t="s">
        <v>498</v>
      </c>
    </row>
    <row r="93" spans="1:15" ht="30" x14ac:dyDescent="0.25">
      <c r="A93" s="2">
        <v>92</v>
      </c>
      <c r="B93" s="2" t="s">
        <v>374</v>
      </c>
      <c r="C93" s="2" t="s">
        <v>500</v>
      </c>
      <c r="D93" s="2" t="s">
        <v>501</v>
      </c>
      <c r="E93" s="2" t="s">
        <v>502</v>
      </c>
      <c r="F93" s="3" t="s">
        <v>503</v>
      </c>
      <c r="G93" s="2" t="s">
        <v>20</v>
      </c>
      <c r="H93" s="2" t="s">
        <v>504</v>
      </c>
      <c r="I93" s="2" t="s">
        <v>22</v>
      </c>
      <c r="J93" s="2" t="s">
        <v>82</v>
      </c>
      <c r="K93" s="2" t="s">
        <v>159</v>
      </c>
      <c r="L93" s="4">
        <v>2</v>
      </c>
      <c r="M93" s="2" t="s">
        <v>246</v>
      </c>
      <c r="N93" s="2"/>
      <c r="O93" s="3" t="s">
        <v>503</v>
      </c>
    </row>
    <row r="94" spans="1:15" ht="30" x14ac:dyDescent="0.25">
      <c r="A94" s="2">
        <v>93</v>
      </c>
      <c r="B94" s="2" t="s">
        <v>374</v>
      </c>
      <c r="C94" s="2" t="s">
        <v>505</v>
      </c>
      <c r="D94" s="2" t="s">
        <v>506</v>
      </c>
      <c r="E94" s="2" t="s">
        <v>507</v>
      </c>
      <c r="F94" s="3" t="s">
        <v>508</v>
      </c>
      <c r="G94" s="2" t="s">
        <v>74</v>
      </c>
      <c r="H94" s="2" t="s">
        <v>509</v>
      </c>
      <c r="I94" s="2" t="s">
        <v>245</v>
      </c>
      <c r="J94" s="2" t="s">
        <v>510</v>
      </c>
      <c r="K94" s="2" t="s">
        <v>33</v>
      </c>
      <c r="L94" s="4">
        <v>4</v>
      </c>
      <c r="M94" s="2" t="s">
        <v>151</v>
      </c>
      <c r="N94" s="2"/>
      <c r="O94" s="3" t="s">
        <v>508</v>
      </c>
    </row>
    <row r="95" spans="1:15" ht="30" x14ac:dyDescent="0.25">
      <c r="A95" s="2">
        <v>94</v>
      </c>
      <c r="B95" s="2" t="s">
        <v>374</v>
      </c>
      <c r="C95" s="2" t="s">
        <v>511</v>
      </c>
      <c r="D95" s="2" t="s">
        <v>512</v>
      </c>
      <c r="E95" s="2" t="s">
        <v>513</v>
      </c>
      <c r="F95" s="3" t="s">
        <v>514</v>
      </c>
      <c r="G95" s="2" t="s">
        <v>515</v>
      </c>
      <c r="H95" s="2" t="s">
        <v>516</v>
      </c>
      <c r="I95" s="2" t="s">
        <v>22</v>
      </c>
      <c r="J95" s="2" t="s">
        <v>200</v>
      </c>
      <c r="K95" s="2" t="s">
        <v>70</v>
      </c>
      <c r="L95" s="4">
        <v>2</v>
      </c>
      <c r="M95" s="2" t="s">
        <v>517</v>
      </c>
      <c r="N95" s="2"/>
      <c r="O95" s="3" t="s">
        <v>514</v>
      </c>
    </row>
    <row r="96" spans="1:15" x14ac:dyDescent="0.25">
      <c r="A96" s="2">
        <v>95</v>
      </c>
      <c r="B96" s="2" t="s">
        <v>374</v>
      </c>
      <c r="C96" s="2" t="s">
        <v>518</v>
      </c>
      <c r="D96" s="2" t="s">
        <v>519</v>
      </c>
      <c r="E96" s="2" t="s">
        <v>520</v>
      </c>
      <c r="F96" s="3" t="s">
        <v>521</v>
      </c>
      <c r="G96" s="2" t="s">
        <v>522</v>
      </c>
      <c r="H96" s="2" t="s">
        <v>523</v>
      </c>
      <c r="I96" s="2" t="s">
        <v>31</v>
      </c>
      <c r="J96" s="2" t="s">
        <v>166</v>
      </c>
      <c r="K96" s="2" t="s">
        <v>33</v>
      </c>
      <c r="L96" s="4">
        <v>5</v>
      </c>
      <c r="M96" s="2" t="s">
        <v>524</v>
      </c>
      <c r="N96" s="2"/>
      <c r="O96" s="3" t="s">
        <v>521</v>
      </c>
    </row>
    <row r="97" spans="1:15" ht="30" x14ac:dyDescent="0.25">
      <c r="A97" s="2">
        <v>96</v>
      </c>
      <c r="B97" s="2" t="s">
        <v>374</v>
      </c>
      <c r="C97" s="2" t="s">
        <v>518</v>
      </c>
      <c r="D97" s="2" t="s">
        <v>519</v>
      </c>
      <c r="E97" s="2" t="s">
        <v>525</v>
      </c>
      <c r="F97" s="3" t="s">
        <v>526</v>
      </c>
      <c r="G97" s="2" t="s">
        <v>522</v>
      </c>
      <c r="H97" s="2" t="s">
        <v>527</v>
      </c>
      <c r="I97" s="2" t="s">
        <v>31</v>
      </c>
      <c r="J97" s="2" t="s">
        <v>166</v>
      </c>
      <c r="K97" s="2" t="s">
        <v>33</v>
      </c>
      <c r="L97" s="4">
        <v>5</v>
      </c>
      <c r="M97" s="2" t="s">
        <v>524</v>
      </c>
      <c r="N97" s="2"/>
      <c r="O97" s="3" t="s">
        <v>526</v>
      </c>
    </row>
    <row r="98" spans="1:15" ht="30" x14ac:dyDescent="0.25">
      <c r="A98" s="2">
        <v>97</v>
      </c>
      <c r="B98" s="2" t="s">
        <v>374</v>
      </c>
      <c r="C98" s="2" t="s">
        <v>518</v>
      </c>
      <c r="D98" s="2" t="s">
        <v>519</v>
      </c>
      <c r="E98" s="2" t="s">
        <v>528</v>
      </c>
      <c r="F98" s="3" t="s">
        <v>529</v>
      </c>
      <c r="G98" s="2" t="s">
        <v>530</v>
      </c>
      <c r="H98" s="2" t="s">
        <v>531</v>
      </c>
      <c r="I98" s="2" t="s">
        <v>31</v>
      </c>
      <c r="J98" s="2" t="s">
        <v>532</v>
      </c>
      <c r="K98" s="2" t="s">
        <v>33</v>
      </c>
      <c r="L98" s="4">
        <v>4</v>
      </c>
      <c r="M98" s="2" t="s">
        <v>533</v>
      </c>
      <c r="N98" s="2"/>
      <c r="O98" s="3" t="s">
        <v>529</v>
      </c>
    </row>
    <row r="99" spans="1:15" ht="30" x14ac:dyDescent="0.25">
      <c r="A99" s="2">
        <v>98</v>
      </c>
      <c r="B99" s="2" t="s">
        <v>374</v>
      </c>
      <c r="C99" s="2" t="s">
        <v>431</v>
      </c>
      <c r="D99" s="2" t="s">
        <v>534</v>
      </c>
      <c r="E99" s="2" t="s">
        <v>535</v>
      </c>
      <c r="F99" s="3" t="s">
        <v>536</v>
      </c>
      <c r="G99" s="2" t="s">
        <v>537</v>
      </c>
      <c r="H99" s="2" t="s">
        <v>538</v>
      </c>
      <c r="I99" s="2" t="s">
        <v>31</v>
      </c>
      <c r="J99" s="2" t="s">
        <v>319</v>
      </c>
      <c r="K99" s="2" t="s">
        <v>33</v>
      </c>
      <c r="L99" s="4">
        <v>2</v>
      </c>
      <c r="M99" s="2" t="s">
        <v>539</v>
      </c>
      <c r="N99" s="2"/>
      <c r="O99" s="3" t="s">
        <v>536</v>
      </c>
    </row>
    <row r="100" spans="1:15" x14ac:dyDescent="0.25">
      <c r="A100" s="2">
        <v>99</v>
      </c>
      <c r="B100" s="2" t="s">
        <v>540</v>
      </c>
      <c r="C100" s="2" t="s">
        <v>541</v>
      </c>
      <c r="D100" s="2" t="s">
        <v>542</v>
      </c>
      <c r="E100" s="2" t="s">
        <v>543</v>
      </c>
      <c r="F100" s="3" t="s">
        <v>544</v>
      </c>
      <c r="G100" s="2" t="s">
        <v>194</v>
      </c>
      <c r="H100" s="2" t="s">
        <v>545</v>
      </c>
      <c r="I100" s="2" t="s">
        <v>31</v>
      </c>
      <c r="J100" s="2" t="s">
        <v>87</v>
      </c>
      <c r="K100" s="2" t="s">
        <v>33</v>
      </c>
      <c r="L100" s="4">
        <v>5</v>
      </c>
      <c r="M100" s="2" t="s">
        <v>546</v>
      </c>
      <c r="N100" s="2"/>
      <c r="O100" s="3" t="s">
        <v>544</v>
      </c>
    </row>
    <row r="101" spans="1:15" ht="30" x14ac:dyDescent="0.25">
      <c r="A101" s="2">
        <v>100</v>
      </c>
      <c r="B101" s="2" t="s">
        <v>540</v>
      </c>
      <c r="C101" s="2" t="s">
        <v>541</v>
      </c>
      <c r="D101" s="2" t="s">
        <v>547</v>
      </c>
      <c r="E101" s="2" t="s">
        <v>548</v>
      </c>
      <c r="F101" s="3" t="s">
        <v>549</v>
      </c>
      <c r="G101" s="2" t="s">
        <v>550</v>
      </c>
      <c r="H101" s="2" t="s">
        <v>551</v>
      </c>
      <c r="I101" s="2" t="s">
        <v>31</v>
      </c>
      <c r="J101" s="2" t="s">
        <v>76</v>
      </c>
      <c r="K101" s="2" t="s">
        <v>33</v>
      </c>
      <c r="L101" s="4">
        <v>5</v>
      </c>
      <c r="M101" s="2" t="s">
        <v>552</v>
      </c>
      <c r="N101" s="2"/>
      <c r="O101" s="3" t="s">
        <v>549</v>
      </c>
    </row>
    <row r="102" spans="1:15" x14ac:dyDescent="0.25">
      <c r="A102" s="2">
        <v>101</v>
      </c>
      <c r="B102" s="2" t="s">
        <v>540</v>
      </c>
      <c r="C102" s="2" t="s">
        <v>541</v>
      </c>
      <c r="D102" s="2" t="s">
        <v>553</v>
      </c>
      <c r="E102" s="2" t="s">
        <v>554</v>
      </c>
      <c r="F102" s="3" t="s">
        <v>555</v>
      </c>
      <c r="G102" s="2" t="s">
        <v>343</v>
      </c>
      <c r="H102" s="2" t="s">
        <v>556</v>
      </c>
      <c r="I102" s="2" t="s">
        <v>31</v>
      </c>
      <c r="J102" s="2" t="s">
        <v>166</v>
      </c>
      <c r="K102" s="2" t="s">
        <v>33</v>
      </c>
      <c r="L102" s="4">
        <v>5</v>
      </c>
      <c r="M102" s="2" t="s">
        <v>557</v>
      </c>
      <c r="N102" s="2"/>
      <c r="O102" s="3" t="s">
        <v>555</v>
      </c>
    </row>
    <row r="103" spans="1:15" ht="30" x14ac:dyDescent="0.25">
      <c r="A103" s="2">
        <v>102</v>
      </c>
      <c r="B103" s="2" t="s">
        <v>540</v>
      </c>
      <c r="C103" s="2" t="s">
        <v>541</v>
      </c>
      <c r="D103" s="2" t="s">
        <v>558</v>
      </c>
      <c r="E103" s="2" t="s">
        <v>559</v>
      </c>
      <c r="F103" s="3" t="s">
        <v>560</v>
      </c>
      <c r="G103" s="2" t="s">
        <v>20</v>
      </c>
      <c r="H103" s="2" t="s">
        <v>561</v>
      </c>
      <c r="I103" s="2" t="s">
        <v>31</v>
      </c>
      <c r="J103" s="2" t="s">
        <v>46</v>
      </c>
      <c r="K103" s="2" t="s">
        <v>33</v>
      </c>
      <c r="L103" s="4">
        <v>4</v>
      </c>
      <c r="M103" s="2" t="s">
        <v>151</v>
      </c>
      <c r="N103" s="2"/>
      <c r="O103" s="3" t="s">
        <v>560</v>
      </c>
    </row>
    <row r="104" spans="1:15" x14ac:dyDescent="0.25">
      <c r="A104" s="2">
        <v>103</v>
      </c>
      <c r="B104" s="2" t="s">
        <v>540</v>
      </c>
      <c r="C104" s="2" t="s">
        <v>541</v>
      </c>
      <c r="D104" s="2" t="s">
        <v>562</v>
      </c>
      <c r="E104" s="2" t="s">
        <v>563</v>
      </c>
      <c r="F104" s="3" t="s">
        <v>564</v>
      </c>
      <c r="G104" s="2" t="s">
        <v>565</v>
      </c>
      <c r="H104" s="2" t="s">
        <v>566</v>
      </c>
      <c r="I104" s="2" t="s">
        <v>31</v>
      </c>
      <c r="J104" s="2" t="s">
        <v>127</v>
      </c>
      <c r="K104" s="2" t="s">
        <v>33</v>
      </c>
      <c r="L104" s="4">
        <v>4</v>
      </c>
      <c r="M104" s="2" t="s">
        <v>151</v>
      </c>
      <c r="N104" s="2"/>
      <c r="O104" s="3" t="s">
        <v>564</v>
      </c>
    </row>
    <row r="105" spans="1:15" x14ac:dyDescent="0.25">
      <c r="A105" s="2">
        <v>104</v>
      </c>
      <c r="B105" s="2" t="s">
        <v>540</v>
      </c>
      <c r="C105" s="2" t="s">
        <v>541</v>
      </c>
      <c r="D105" s="2" t="s">
        <v>567</v>
      </c>
      <c r="E105" s="2" t="s">
        <v>568</v>
      </c>
      <c r="F105" s="3" t="s">
        <v>569</v>
      </c>
      <c r="G105" s="2" t="s">
        <v>570</v>
      </c>
      <c r="H105" s="2" t="s">
        <v>571</v>
      </c>
      <c r="I105" s="2" t="s">
        <v>31</v>
      </c>
      <c r="J105" s="2" t="s">
        <v>76</v>
      </c>
      <c r="K105" s="2" t="s">
        <v>33</v>
      </c>
      <c r="L105" s="4">
        <v>4</v>
      </c>
      <c r="M105" s="2" t="s">
        <v>572</v>
      </c>
      <c r="N105" s="2"/>
      <c r="O105" s="3" t="s">
        <v>569</v>
      </c>
    </row>
    <row r="106" spans="1:15" ht="30" x14ac:dyDescent="0.25">
      <c r="A106" s="2">
        <v>105</v>
      </c>
      <c r="B106" s="2" t="s">
        <v>540</v>
      </c>
      <c r="C106" s="2" t="s">
        <v>541</v>
      </c>
      <c r="D106" s="2" t="s">
        <v>547</v>
      </c>
      <c r="E106" s="2" t="s">
        <v>573</v>
      </c>
      <c r="F106" s="3" t="s">
        <v>574</v>
      </c>
      <c r="G106" s="2" t="s">
        <v>575</v>
      </c>
      <c r="H106" s="2" t="s">
        <v>576</v>
      </c>
      <c r="I106" s="2" t="s">
        <v>31</v>
      </c>
      <c r="J106" s="2" t="s">
        <v>82</v>
      </c>
      <c r="K106" s="2" t="s">
        <v>33</v>
      </c>
      <c r="L106" s="4">
        <v>4</v>
      </c>
      <c r="M106" s="2" t="s">
        <v>151</v>
      </c>
      <c r="N106" s="2"/>
      <c r="O106" s="3" t="s">
        <v>574</v>
      </c>
    </row>
    <row r="107" spans="1:15" x14ac:dyDescent="0.25">
      <c r="A107" s="2">
        <v>106</v>
      </c>
      <c r="B107" s="2" t="s">
        <v>540</v>
      </c>
      <c r="C107" s="2" t="s">
        <v>541</v>
      </c>
      <c r="D107" s="2" t="s">
        <v>542</v>
      </c>
      <c r="E107" s="2" t="s">
        <v>577</v>
      </c>
      <c r="F107" s="3" t="s">
        <v>578</v>
      </c>
      <c r="G107" s="2" t="s">
        <v>522</v>
      </c>
      <c r="H107" s="2" t="s">
        <v>523</v>
      </c>
      <c r="I107" s="2" t="s">
        <v>31</v>
      </c>
      <c r="J107" s="2" t="s">
        <v>510</v>
      </c>
      <c r="K107" s="2" t="s">
        <v>33</v>
      </c>
      <c r="L107" s="4">
        <v>5</v>
      </c>
      <c r="M107" s="2" t="s">
        <v>524</v>
      </c>
      <c r="N107" s="2"/>
      <c r="O107" s="3" t="s">
        <v>578</v>
      </c>
    </row>
    <row r="108" spans="1:15" ht="30" x14ac:dyDescent="0.25">
      <c r="A108" s="2">
        <v>107</v>
      </c>
      <c r="B108" s="2" t="s">
        <v>540</v>
      </c>
      <c r="C108" s="2" t="s">
        <v>541</v>
      </c>
      <c r="D108" s="2" t="s">
        <v>579</v>
      </c>
      <c r="E108" s="2" t="s">
        <v>580</v>
      </c>
      <c r="F108" s="3" t="s">
        <v>581</v>
      </c>
      <c r="G108" s="2" t="s">
        <v>582</v>
      </c>
      <c r="H108" s="2" t="s">
        <v>583</v>
      </c>
      <c r="I108" s="2" t="s">
        <v>31</v>
      </c>
      <c r="J108" s="2" t="s">
        <v>182</v>
      </c>
      <c r="K108" s="2" t="s">
        <v>33</v>
      </c>
      <c r="L108" s="4">
        <v>4</v>
      </c>
      <c r="M108" s="2" t="s">
        <v>584</v>
      </c>
      <c r="N108" s="2"/>
      <c r="O108" s="3" t="s">
        <v>581</v>
      </c>
    </row>
    <row r="109" spans="1:15" ht="30" x14ac:dyDescent="0.25">
      <c r="A109" s="2">
        <v>108</v>
      </c>
      <c r="B109" s="2" t="s">
        <v>540</v>
      </c>
      <c r="C109" s="2" t="s">
        <v>541</v>
      </c>
      <c r="D109" s="2" t="s">
        <v>585</v>
      </c>
      <c r="E109" s="2" t="s">
        <v>586</v>
      </c>
      <c r="F109" s="3" t="s">
        <v>587</v>
      </c>
      <c r="G109" s="2" t="s">
        <v>588</v>
      </c>
      <c r="H109" s="2" t="s">
        <v>589</v>
      </c>
      <c r="I109" s="2" t="s">
        <v>31</v>
      </c>
      <c r="J109" s="2" t="s">
        <v>52</v>
      </c>
      <c r="K109" s="2" t="s">
        <v>33</v>
      </c>
      <c r="L109" s="4">
        <v>5</v>
      </c>
      <c r="M109" s="2" t="s">
        <v>590</v>
      </c>
      <c r="N109" s="2"/>
      <c r="O109" s="3" t="s">
        <v>587</v>
      </c>
    </row>
    <row r="110" spans="1:15" ht="30" x14ac:dyDescent="0.25">
      <c r="A110" s="2">
        <v>109</v>
      </c>
      <c r="B110" s="2" t="s">
        <v>540</v>
      </c>
      <c r="C110" s="2" t="s">
        <v>541</v>
      </c>
      <c r="D110" s="2" t="s">
        <v>591</v>
      </c>
      <c r="E110" s="2" t="s">
        <v>592</v>
      </c>
      <c r="F110" s="3" t="s">
        <v>593</v>
      </c>
      <c r="G110" s="2" t="s">
        <v>588</v>
      </c>
      <c r="H110" s="2" t="s">
        <v>594</v>
      </c>
      <c r="I110" s="2" t="s">
        <v>31</v>
      </c>
      <c r="J110" s="2" t="s">
        <v>82</v>
      </c>
      <c r="K110" s="2" t="s">
        <v>33</v>
      </c>
      <c r="L110" s="4">
        <v>5</v>
      </c>
      <c r="M110" s="2" t="s">
        <v>595</v>
      </c>
      <c r="N110" s="2"/>
      <c r="O110" s="3" t="s">
        <v>593</v>
      </c>
    </row>
    <row r="111" spans="1:15" x14ac:dyDescent="0.25">
      <c r="A111" s="2">
        <v>110</v>
      </c>
      <c r="B111" s="2" t="s">
        <v>540</v>
      </c>
      <c r="C111" s="2" t="s">
        <v>541</v>
      </c>
      <c r="D111" s="2" t="s">
        <v>596</v>
      </c>
      <c r="E111" s="2" t="s">
        <v>597</v>
      </c>
      <c r="F111" s="3" t="s">
        <v>598</v>
      </c>
      <c r="G111" s="2" t="s">
        <v>29</v>
      </c>
      <c r="H111" s="2" t="s">
        <v>599</v>
      </c>
      <c r="I111" s="2" t="s">
        <v>31</v>
      </c>
      <c r="J111" s="2" t="s">
        <v>46</v>
      </c>
      <c r="K111" s="2" t="s">
        <v>33</v>
      </c>
      <c r="L111" s="4">
        <v>4</v>
      </c>
      <c r="M111" s="2" t="s">
        <v>151</v>
      </c>
      <c r="N111" s="2"/>
      <c r="O111" s="3" t="s">
        <v>598</v>
      </c>
    </row>
    <row r="112" spans="1:15" x14ac:dyDescent="0.25">
      <c r="A112" s="2">
        <v>111</v>
      </c>
      <c r="B112" s="2" t="s">
        <v>540</v>
      </c>
      <c r="C112" s="2" t="s">
        <v>541</v>
      </c>
      <c r="D112" s="2" t="s">
        <v>579</v>
      </c>
      <c r="E112" s="2" t="s">
        <v>600</v>
      </c>
      <c r="F112" s="3" t="s">
        <v>601</v>
      </c>
      <c r="G112" s="2" t="s">
        <v>29</v>
      </c>
      <c r="H112" s="2" t="s">
        <v>602</v>
      </c>
      <c r="I112" s="2" t="s">
        <v>31</v>
      </c>
      <c r="J112" s="2" t="s">
        <v>40</v>
      </c>
      <c r="K112" s="2" t="s">
        <v>33</v>
      </c>
      <c r="L112" s="4">
        <v>4</v>
      </c>
      <c r="M112" s="2" t="s">
        <v>151</v>
      </c>
      <c r="N112" s="2"/>
      <c r="O112" s="3" t="s">
        <v>601</v>
      </c>
    </row>
    <row r="113" spans="1:15" x14ac:dyDescent="0.25">
      <c r="A113" s="2">
        <v>112</v>
      </c>
      <c r="B113" s="2" t="s">
        <v>540</v>
      </c>
      <c r="C113" s="2" t="s">
        <v>541</v>
      </c>
      <c r="D113" s="2" t="s">
        <v>579</v>
      </c>
      <c r="E113" s="2" t="s">
        <v>603</v>
      </c>
      <c r="F113" s="3" t="s">
        <v>604</v>
      </c>
      <c r="G113" s="2" t="s">
        <v>29</v>
      </c>
      <c r="H113" s="2" t="s">
        <v>605</v>
      </c>
      <c r="I113" s="2" t="s">
        <v>31</v>
      </c>
      <c r="J113" s="2" t="s">
        <v>40</v>
      </c>
      <c r="K113" s="2" t="s">
        <v>33</v>
      </c>
      <c r="L113" s="4">
        <v>3</v>
      </c>
      <c r="M113" s="2" t="s">
        <v>606</v>
      </c>
      <c r="N113" s="2"/>
      <c r="O113" s="3" t="s">
        <v>604</v>
      </c>
    </row>
    <row r="114" spans="1:15" ht="30" x14ac:dyDescent="0.25">
      <c r="A114" s="2">
        <v>113</v>
      </c>
      <c r="B114" s="2" t="s">
        <v>540</v>
      </c>
      <c r="C114" s="2" t="s">
        <v>541</v>
      </c>
      <c r="D114" s="2" t="s">
        <v>607</v>
      </c>
      <c r="E114" s="2" t="s">
        <v>608</v>
      </c>
      <c r="F114" s="3" t="s">
        <v>609</v>
      </c>
      <c r="G114" s="2" t="s">
        <v>530</v>
      </c>
      <c r="H114" s="2" t="s">
        <v>610</v>
      </c>
      <c r="I114" s="2" t="s">
        <v>31</v>
      </c>
      <c r="J114" s="2" t="s">
        <v>76</v>
      </c>
      <c r="K114" s="2" t="s">
        <v>33</v>
      </c>
      <c r="L114" s="4">
        <v>5</v>
      </c>
      <c r="M114" s="2" t="s">
        <v>611</v>
      </c>
      <c r="N114" s="2"/>
      <c r="O114" s="3" t="s">
        <v>609</v>
      </c>
    </row>
    <row r="115" spans="1:15" x14ac:dyDescent="0.25">
      <c r="A115" s="2">
        <v>114</v>
      </c>
      <c r="B115" s="2" t="s">
        <v>540</v>
      </c>
      <c r="C115" s="2" t="s">
        <v>541</v>
      </c>
      <c r="D115" s="2" t="s">
        <v>579</v>
      </c>
      <c r="E115" s="2" t="s">
        <v>612</v>
      </c>
      <c r="F115" s="3" t="s">
        <v>613</v>
      </c>
      <c r="G115" s="2" t="s">
        <v>180</v>
      </c>
      <c r="H115" s="2" t="s">
        <v>614</v>
      </c>
      <c r="I115" s="2" t="s">
        <v>31</v>
      </c>
      <c r="J115" s="2" t="s">
        <v>76</v>
      </c>
      <c r="K115" s="2" t="s">
        <v>33</v>
      </c>
      <c r="L115" s="4">
        <v>3</v>
      </c>
      <c r="M115" s="2" t="s">
        <v>615</v>
      </c>
      <c r="N115" s="2"/>
      <c r="O115" s="3" t="s">
        <v>613</v>
      </c>
    </row>
    <row r="116" spans="1:15" x14ac:dyDescent="0.25">
      <c r="A116" s="2">
        <v>115</v>
      </c>
      <c r="B116" s="2" t="s">
        <v>540</v>
      </c>
      <c r="C116" s="2" t="s">
        <v>541</v>
      </c>
      <c r="D116" s="2" t="s">
        <v>519</v>
      </c>
      <c r="E116" s="2" t="s">
        <v>616</v>
      </c>
      <c r="F116" s="3" t="s">
        <v>617</v>
      </c>
      <c r="G116" s="2" t="s">
        <v>618</v>
      </c>
      <c r="H116" s="2" t="s">
        <v>619</v>
      </c>
      <c r="I116" s="2" t="s">
        <v>31</v>
      </c>
      <c r="J116" s="2" t="s">
        <v>82</v>
      </c>
      <c r="K116" s="2" t="s">
        <v>33</v>
      </c>
      <c r="L116" s="4">
        <v>3</v>
      </c>
      <c r="M116" s="2" t="s">
        <v>151</v>
      </c>
      <c r="N116" s="2"/>
      <c r="O116" s="3" t="s">
        <v>617</v>
      </c>
    </row>
    <row r="117" spans="1:15" x14ac:dyDescent="0.25">
      <c r="A117" s="2">
        <v>116</v>
      </c>
      <c r="B117" s="2" t="s">
        <v>540</v>
      </c>
      <c r="C117" s="2" t="s">
        <v>541</v>
      </c>
      <c r="D117" s="2" t="s">
        <v>620</v>
      </c>
      <c r="E117" s="2" t="s">
        <v>621</v>
      </c>
      <c r="F117" s="3" t="s">
        <v>622</v>
      </c>
      <c r="G117" s="2" t="s">
        <v>623</v>
      </c>
      <c r="H117" s="2" t="s">
        <v>624</v>
      </c>
      <c r="I117" s="2" t="s">
        <v>31</v>
      </c>
      <c r="J117" s="2" t="s">
        <v>46</v>
      </c>
      <c r="K117" s="2" t="s">
        <v>33</v>
      </c>
      <c r="L117" s="4">
        <v>5</v>
      </c>
      <c r="M117" s="2" t="s">
        <v>287</v>
      </c>
      <c r="N117" s="2"/>
      <c r="O117" s="3" t="s">
        <v>622</v>
      </c>
    </row>
    <row r="118" spans="1:15" ht="30" x14ac:dyDescent="0.25">
      <c r="A118" s="2">
        <v>117</v>
      </c>
      <c r="B118" s="2" t="s">
        <v>540</v>
      </c>
      <c r="C118" s="2" t="s">
        <v>541</v>
      </c>
      <c r="D118" s="2" t="s">
        <v>579</v>
      </c>
      <c r="E118" s="2" t="s">
        <v>625</v>
      </c>
      <c r="F118" s="3" t="s">
        <v>626</v>
      </c>
      <c r="G118" s="2" t="s">
        <v>223</v>
      </c>
      <c r="H118" s="2" t="s">
        <v>627</v>
      </c>
      <c r="I118" s="2" t="s">
        <v>31</v>
      </c>
      <c r="J118" s="2" t="s">
        <v>82</v>
      </c>
      <c r="K118" s="2" t="s">
        <v>33</v>
      </c>
      <c r="L118" s="4">
        <v>4</v>
      </c>
      <c r="M118" s="2" t="s">
        <v>628</v>
      </c>
      <c r="N118" s="2"/>
      <c r="O118" s="3" t="s">
        <v>626</v>
      </c>
    </row>
    <row r="119" spans="1:15" ht="30" x14ac:dyDescent="0.25">
      <c r="A119" s="2">
        <v>118</v>
      </c>
      <c r="B119" s="2" t="s">
        <v>540</v>
      </c>
      <c r="C119" s="2" t="s">
        <v>541</v>
      </c>
      <c r="D119" s="2" t="s">
        <v>579</v>
      </c>
      <c r="E119" s="2" t="s">
        <v>629</v>
      </c>
      <c r="F119" s="3" t="s">
        <v>630</v>
      </c>
      <c r="G119" s="2" t="s">
        <v>444</v>
      </c>
      <c r="H119" s="2" t="s">
        <v>631</v>
      </c>
      <c r="I119" s="2" t="s">
        <v>31</v>
      </c>
      <c r="J119" s="2" t="s">
        <v>298</v>
      </c>
      <c r="K119" s="2" t="s">
        <v>33</v>
      </c>
      <c r="L119" s="4">
        <v>2</v>
      </c>
      <c r="M119" s="2" t="s">
        <v>632</v>
      </c>
      <c r="N119" s="2"/>
      <c r="O119" s="3" t="s">
        <v>630</v>
      </c>
    </row>
    <row r="120" spans="1:15" ht="30" x14ac:dyDescent="0.25">
      <c r="A120" s="2">
        <v>119</v>
      </c>
      <c r="B120" s="2" t="s">
        <v>540</v>
      </c>
      <c r="C120" s="2" t="s">
        <v>633</v>
      </c>
      <c r="D120" s="2" t="s">
        <v>634</v>
      </c>
      <c r="E120" s="2" t="s">
        <v>635</v>
      </c>
      <c r="F120" s="3" t="s">
        <v>636</v>
      </c>
      <c r="G120" s="2" t="s">
        <v>149</v>
      </c>
      <c r="H120" s="2" t="s">
        <v>637</v>
      </c>
      <c r="I120" s="2" t="s">
        <v>31</v>
      </c>
      <c r="J120" s="2" t="s">
        <v>166</v>
      </c>
      <c r="K120" s="2" t="s">
        <v>33</v>
      </c>
      <c r="L120" s="4">
        <v>4</v>
      </c>
      <c r="M120" s="2" t="s">
        <v>151</v>
      </c>
      <c r="N120" s="2"/>
      <c r="O120" s="3" t="s">
        <v>636</v>
      </c>
    </row>
    <row r="121" spans="1:15" ht="30" x14ac:dyDescent="0.25">
      <c r="A121" s="2">
        <v>120</v>
      </c>
      <c r="B121" s="2" t="s">
        <v>540</v>
      </c>
      <c r="C121" s="2" t="s">
        <v>633</v>
      </c>
      <c r="D121" s="2" t="s">
        <v>638</v>
      </c>
      <c r="E121" s="2" t="s">
        <v>639</v>
      </c>
      <c r="F121" s="3" t="s">
        <v>640</v>
      </c>
      <c r="G121" s="2" t="s">
        <v>641</v>
      </c>
      <c r="H121" s="2" t="s">
        <v>642</v>
      </c>
      <c r="I121" s="2" t="s">
        <v>31</v>
      </c>
      <c r="J121" s="2" t="s">
        <v>87</v>
      </c>
      <c r="K121" s="2" t="s">
        <v>33</v>
      </c>
      <c r="L121" s="4">
        <v>3</v>
      </c>
      <c r="M121" s="2" t="s">
        <v>246</v>
      </c>
      <c r="N121" s="2"/>
      <c r="O121" s="3" t="s">
        <v>640</v>
      </c>
    </row>
    <row r="122" spans="1:15" ht="30" x14ac:dyDescent="0.25">
      <c r="A122" s="2">
        <v>121</v>
      </c>
      <c r="B122" s="2" t="s">
        <v>540</v>
      </c>
      <c r="C122" s="2" t="s">
        <v>633</v>
      </c>
      <c r="D122" s="2" t="s">
        <v>634</v>
      </c>
      <c r="E122" s="2" t="s">
        <v>643</v>
      </c>
      <c r="F122" s="3" t="s">
        <v>644</v>
      </c>
      <c r="G122" s="2" t="s">
        <v>645</v>
      </c>
      <c r="H122" s="2" t="s">
        <v>646</v>
      </c>
      <c r="I122" s="2" t="s">
        <v>31</v>
      </c>
      <c r="J122" s="2" t="s">
        <v>647</v>
      </c>
      <c r="K122" s="2" t="s">
        <v>33</v>
      </c>
      <c r="L122" s="4">
        <v>3</v>
      </c>
      <c r="M122" s="2" t="s">
        <v>246</v>
      </c>
      <c r="N122" s="2"/>
      <c r="O122" s="3" t="s">
        <v>644</v>
      </c>
    </row>
    <row r="123" spans="1:15" ht="30" x14ac:dyDescent="0.25">
      <c r="A123" s="2">
        <v>122</v>
      </c>
      <c r="B123" s="2" t="s">
        <v>648</v>
      </c>
      <c r="C123" s="2" t="s">
        <v>649</v>
      </c>
      <c r="D123" s="2" t="s">
        <v>650</v>
      </c>
      <c r="E123" s="2" t="s">
        <v>651</v>
      </c>
      <c r="F123" s="3" t="s">
        <v>652</v>
      </c>
      <c r="G123" s="2" t="s">
        <v>149</v>
      </c>
      <c r="H123" s="2" t="s">
        <v>653</v>
      </c>
      <c r="I123" s="2" t="s">
        <v>22</v>
      </c>
      <c r="J123" s="2" t="s">
        <v>397</v>
      </c>
      <c r="K123" s="2" t="s">
        <v>70</v>
      </c>
      <c r="L123" s="4">
        <v>5</v>
      </c>
      <c r="M123" s="2" t="s">
        <v>654</v>
      </c>
      <c r="N123" s="2"/>
      <c r="O123" s="3" t="s">
        <v>652</v>
      </c>
    </row>
    <row r="124" spans="1:15" x14ac:dyDescent="0.25">
      <c r="A124" s="2">
        <v>123</v>
      </c>
      <c r="B124" s="2" t="s">
        <v>648</v>
      </c>
      <c r="C124" s="2" t="s">
        <v>655</v>
      </c>
      <c r="D124" s="2" t="s">
        <v>656</v>
      </c>
      <c r="E124" s="2" t="s">
        <v>657</v>
      </c>
      <c r="F124" s="3" t="s">
        <v>658</v>
      </c>
      <c r="G124" s="2" t="s">
        <v>61</v>
      </c>
      <c r="H124" s="2" t="s">
        <v>659</v>
      </c>
      <c r="I124" s="2" t="s">
        <v>22</v>
      </c>
      <c r="J124" s="2" t="s">
        <v>103</v>
      </c>
      <c r="K124" s="2" t="s">
        <v>24</v>
      </c>
      <c r="L124" s="4">
        <v>4</v>
      </c>
      <c r="M124" s="2" t="s">
        <v>151</v>
      </c>
      <c r="N124" s="2"/>
      <c r="O124" s="3" t="s">
        <v>658</v>
      </c>
    </row>
    <row r="125" spans="1:15" x14ac:dyDescent="0.25">
      <c r="A125" s="2">
        <v>124</v>
      </c>
      <c r="B125" s="2" t="s">
        <v>648</v>
      </c>
      <c r="C125" s="2" t="s">
        <v>660</v>
      </c>
      <c r="D125" s="2" t="s">
        <v>661</v>
      </c>
      <c r="E125" s="2" t="s">
        <v>662</v>
      </c>
      <c r="F125" s="3" t="s">
        <v>663</v>
      </c>
      <c r="G125" s="2" t="s">
        <v>149</v>
      </c>
      <c r="H125" s="2" t="s">
        <v>150</v>
      </c>
      <c r="I125" s="2" t="s">
        <v>22</v>
      </c>
      <c r="J125" s="2" t="s">
        <v>69</v>
      </c>
      <c r="K125" s="2" t="s">
        <v>70</v>
      </c>
      <c r="L125" s="4">
        <v>3</v>
      </c>
      <c r="M125" s="2" t="s">
        <v>246</v>
      </c>
      <c r="N125" s="2"/>
      <c r="O125" s="3" t="s">
        <v>663</v>
      </c>
    </row>
    <row r="126" spans="1:15" x14ac:dyDescent="0.25">
      <c r="A126" s="2">
        <v>125</v>
      </c>
      <c r="B126" s="2" t="s">
        <v>648</v>
      </c>
      <c r="C126" s="2" t="s">
        <v>664</v>
      </c>
      <c r="D126" s="2" t="s">
        <v>665</v>
      </c>
      <c r="E126" s="2" t="s">
        <v>666</v>
      </c>
      <c r="F126" s="3" t="s">
        <v>667</v>
      </c>
      <c r="G126" s="2" t="s">
        <v>149</v>
      </c>
      <c r="H126" s="2" t="s">
        <v>668</v>
      </c>
      <c r="I126" s="2" t="s">
        <v>22</v>
      </c>
      <c r="J126" s="2" t="s">
        <v>352</v>
      </c>
      <c r="K126" s="2" t="s">
        <v>70</v>
      </c>
      <c r="L126" s="4">
        <v>4</v>
      </c>
      <c r="M126" s="2" t="s">
        <v>151</v>
      </c>
      <c r="N126" s="2"/>
      <c r="O126" s="3" t="s">
        <v>667</v>
      </c>
    </row>
    <row r="127" spans="1:15" x14ac:dyDescent="0.25">
      <c r="A127" s="2">
        <v>126</v>
      </c>
      <c r="B127" s="2" t="s">
        <v>648</v>
      </c>
      <c r="C127" s="2" t="s">
        <v>664</v>
      </c>
      <c r="D127" s="2" t="s">
        <v>669</v>
      </c>
      <c r="E127" s="2" t="s">
        <v>670</v>
      </c>
      <c r="F127" s="3" t="s">
        <v>671</v>
      </c>
      <c r="G127" s="2" t="s">
        <v>61</v>
      </c>
      <c r="H127" s="2" t="s">
        <v>317</v>
      </c>
      <c r="I127" s="2" t="s">
        <v>22</v>
      </c>
      <c r="J127" s="2" t="s">
        <v>672</v>
      </c>
      <c r="K127" s="2" t="s">
        <v>70</v>
      </c>
      <c r="L127" s="4">
        <v>3</v>
      </c>
      <c r="M127" s="2" t="s">
        <v>246</v>
      </c>
      <c r="N127" s="2"/>
      <c r="O127" s="3" t="s">
        <v>671</v>
      </c>
    </row>
    <row r="128" spans="1:15" x14ac:dyDescent="0.25">
      <c r="A128" s="2">
        <v>127</v>
      </c>
      <c r="B128" s="2" t="s">
        <v>648</v>
      </c>
      <c r="C128" s="2" t="s">
        <v>673</v>
      </c>
      <c r="D128" s="2" t="s">
        <v>674</v>
      </c>
      <c r="E128" s="2" t="s">
        <v>675</v>
      </c>
      <c r="F128" s="3" t="s">
        <v>676</v>
      </c>
      <c r="G128" s="2" t="s">
        <v>61</v>
      </c>
      <c r="H128" s="2" t="s">
        <v>408</v>
      </c>
      <c r="I128" s="2" t="s">
        <v>22</v>
      </c>
      <c r="J128" s="2" t="s">
        <v>397</v>
      </c>
      <c r="K128" s="2" t="s">
        <v>70</v>
      </c>
      <c r="L128" s="4">
        <v>3</v>
      </c>
      <c r="M128" s="2" t="s">
        <v>246</v>
      </c>
      <c r="N128" s="2"/>
      <c r="O128" s="3" t="s">
        <v>676</v>
      </c>
    </row>
    <row r="129" spans="1:15" x14ac:dyDescent="0.25">
      <c r="A129" s="2">
        <v>128</v>
      </c>
      <c r="B129" s="2" t="s">
        <v>648</v>
      </c>
      <c r="C129" s="2" t="s">
        <v>673</v>
      </c>
      <c r="D129" s="2" t="s">
        <v>674</v>
      </c>
      <c r="E129" s="2" t="s">
        <v>677</v>
      </c>
      <c r="F129" s="3" t="s">
        <v>678</v>
      </c>
      <c r="G129" s="2" t="s">
        <v>180</v>
      </c>
      <c r="H129" s="2" t="s">
        <v>679</v>
      </c>
      <c r="I129" s="2" t="s">
        <v>31</v>
      </c>
      <c r="J129" s="2" t="s">
        <v>76</v>
      </c>
      <c r="K129" s="2" t="s">
        <v>33</v>
      </c>
      <c r="L129" s="4">
        <v>3</v>
      </c>
      <c r="M129" s="2" t="s">
        <v>246</v>
      </c>
      <c r="N129" s="2"/>
      <c r="O129" s="3" t="s">
        <v>678</v>
      </c>
    </row>
    <row r="130" spans="1:15" ht="30" x14ac:dyDescent="0.25">
      <c r="A130" s="2">
        <v>129</v>
      </c>
      <c r="B130" s="2" t="s">
        <v>680</v>
      </c>
      <c r="C130" s="2" t="s">
        <v>681</v>
      </c>
      <c r="D130" s="2" t="s">
        <v>519</v>
      </c>
      <c r="E130" s="2" t="s">
        <v>682</v>
      </c>
      <c r="F130" s="3" t="s">
        <v>79</v>
      </c>
      <c r="G130" s="2" t="s">
        <v>80</v>
      </c>
      <c r="H130" s="2" t="s">
        <v>683</v>
      </c>
      <c r="I130" s="2" t="s">
        <v>684</v>
      </c>
      <c r="J130" s="2" t="s">
        <v>685</v>
      </c>
      <c r="K130" s="2" t="s">
        <v>33</v>
      </c>
      <c r="L130" s="4">
        <v>5</v>
      </c>
      <c r="M130" s="2" t="s">
        <v>686</v>
      </c>
      <c r="N130" s="2"/>
      <c r="O130" s="3" t="s">
        <v>79</v>
      </c>
    </row>
    <row r="131" spans="1:15" ht="30" x14ac:dyDescent="0.25">
      <c r="A131" s="2">
        <v>130</v>
      </c>
      <c r="B131" s="2" t="s">
        <v>680</v>
      </c>
      <c r="C131" s="2" t="s">
        <v>681</v>
      </c>
      <c r="D131" s="2" t="s">
        <v>519</v>
      </c>
      <c r="E131" s="2" t="s">
        <v>687</v>
      </c>
      <c r="F131" s="3" t="s">
        <v>688</v>
      </c>
      <c r="G131" s="2" t="s">
        <v>588</v>
      </c>
      <c r="H131" s="2" t="s">
        <v>689</v>
      </c>
      <c r="I131" s="2" t="s">
        <v>684</v>
      </c>
      <c r="J131" s="2" t="s">
        <v>158</v>
      </c>
      <c r="K131" s="2" t="s">
        <v>33</v>
      </c>
      <c r="L131" s="4">
        <v>4</v>
      </c>
      <c r="M131" s="2" t="s">
        <v>690</v>
      </c>
      <c r="N131" s="2"/>
      <c r="O131" s="3" t="s">
        <v>688</v>
      </c>
    </row>
    <row r="132" spans="1:15" ht="30" x14ac:dyDescent="0.25">
      <c r="A132" s="2">
        <v>131</v>
      </c>
      <c r="B132" s="2" t="s">
        <v>680</v>
      </c>
      <c r="C132" s="2" t="s">
        <v>681</v>
      </c>
      <c r="D132" s="2" t="s">
        <v>519</v>
      </c>
      <c r="E132" s="2" t="s">
        <v>691</v>
      </c>
      <c r="F132" s="3" t="s">
        <v>692</v>
      </c>
      <c r="G132" s="2" t="s">
        <v>588</v>
      </c>
      <c r="H132" s="2" t="s">
        <v>693</v>
      </c>
      <c r="I132" s="2" t="s">
        <v>31</v>
      </c>
      <c r="J132" s="2" t="s">
        <v>158</v>
      </c>
      <c r="K132" s="2" t="s">
        <v>33</v>
      </c>
      <c r="L132" s="4">
        <v>3</v>
      </c>
      <c r="M132" s="2" t="s">
        <v>694</v>
      </c>
      <c r="N132" s="2"/>
      <c r="O132" s="3" t="s">
        <v>692</v>
      </c>
    </row>
    <row r="133" spans="1:15" ht="30" x14ac:dyDescent="0.25">
      <c r="A133" s="2">
        <v>132</v>
      </c>
      <c r="B133" s="2" t="s">
        <v>680</v>
      </c>
      <c r="C133" s="2" t="s">
        <v>681</v>
      </c>
      <c r="D133" s="2" t="s">
        <v>519</v>
      </c>
      <c r="E133" s="2" t="s">
        <v>695</v>
      </c>
      <c r="F133" s="3" t="s">
        <v>696</v>
      </c>
      <c r="G133" s="2" t="s">
        <v>29</v>
      </c>
      <c r="H133" s="2" t="s">
        <v>697</v>
      </c>
      <c r="I133" s="2" t="s">
        <v>684</v>
      </c>
      <c r="J133" s="2" t="s">
        <v>158</v>
      </c>
      <c r="K133" s="2" t="s">
        <v>33</v>
      </c>
      <c r="L133" s="4">
        <v>3</v>
      </c>
      <c r="M133" s="2" t="s">
        <v>698</v>
      </c>
      <c r="N133" s="2"/>
      <c r="O133" s="3" t="s">
        <v>696</v>
      </c>
    </row>
  </sheetData>
  <autoFilter ref="A1:O133" xr:uid="{00000000-0009-0000-0000-000000000000}"/>
  <conditionalFormatting sqref="L2:L13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hyperlinks>
    <hyperlink ref="F2" r:id="rId1" xr:uid="{00000000-0004-0000-0000-000000000000}"/>
    <hyperlink ref="O2" r:id="rId2" xr:uid="{00000000-0004-0000-0000-000001000000}"/>
    <hyperlink ref="F3" r:id="rId3" xr:uid="{00000000-0004-0000-0000-000002000000}"/>
    <hyperlink ref="O3" r:id="rId4" xr:uid="{00000000-0004-0000-0000-000003000000}"/>
    <hyperlink ref="F4" r:id="rId5" xr:uid="{00000000-0004-0000-0000-000004000000}"/>
    <hyperlink ref="O4" r:id="rId6" xr:uid="{00000000-0004-0000-0000-000005000000}"/>
    <hyperlink ref="F5" r:id="rId7" xr:uid="{00000000-0004-0000-0000-000006000000}"/>
    <hyperlink ref="O5" r:id="rId8" xr:uid="{00000000-0004-0000-0000-000007000000}"/>
    <hyperlink ref="F6" r:id="rId9" xr:uid="{00000000-0004-0000-0000-000008000000}"/>
    <hyperlink ref="O6" r:id="rId10" xr:uid="{00000000-0004-0000-0000-000009000000}"/>
    <hyperlink ref="F7" r:id="rId11" xr:uid="{00000000-0004-0000-0000-00000A000000}"/>
    <hyperlink ref="O7" r:id="rId12" xr:uid="{00000000-0004-0000-0000-00000B000000}"/>
    <hyperlink ref="F8" r:id="rId13" xr:uid="{00000000-0004-0000-0000-00000C000000}"/>
    <hyperlink ref="O8" r:id="rId14" xr:uid="{00000000-0004-0000-0000-00000D000000}"/>
    <hyperlink ref="F9" r:id="rId15" xr:uid="{00000000-0004-0000-0000-00000E000000}"/>
    <hyperlink ref="O9" r:id="rId16" xr:uid="{00000000-0004-0000-0000-00000F000000}"/>
    <hyperlink ref="F10" r:id="rId17" xr:uid="{00000000-0004-0000-0000-000010000000}"/>
    <hyperlink ref="O10" r:id="rId18" xr:uid="{00000000-0004-0000-0000-000011000000}"/>
    <hyperlink ref="F11" r:id="rId19" xr:uid="{00000000-0004-0000-0000-000012000000}"/>
    <hyperlink ref="O11" r:id="rId20" xr:uid="{00000000-0004-0000-0000-000013000000}"/>
    <hyperlink ref="F12" r:id="rId21" xr:uid="{00000000-0004-0000-0000-000014000000}"/>
    <hyperlink ref="O12" r:id="rId22" xr:uid="{00000000-0004-0000-0000-000015000000}"/>
    <hyperlink ref="F13" r:id="rId23" xr:uid="{00000000-0004-0000-0000-000016000000}"/>
    <hyperlink ref="O13" r:id="rId24" xr:uid="{00000000-0004-0000-0000-000017000000}"/>
    <hyperlink ref="F14" r:id="rId25" xr:uid="{00000000-0004-0000-0000-000018000000}"/>
    <hyperlink ref="O14" r:id="rId26" xr:uid="{00000000-0004-0000-0000-000019000000}"/>
    <hyperlink ref="F15" r:id="rId27" xr:uid="{00000000-0004-0000-0000-00001A000000}"/>
    <hyperlink ref="O15" r:id="rId28" xr:uid="{00000000-0004-0000-0000-00001B000000}"/>
    <hyperlink ref="F16" r:id="rId29" xr:uid="{00000000-0004-0000-0000-00001C000000}"/>
    <hyperlink ref="O16" r:id="rId30" xr:uid="{00000000-0004-0000-0000-00001D000000}"/>
    <hyperlink ref="F17" r:id="rId31" xr:uid="{00000000-0004-0000-0000-00001E000000}"/>
    <hyperlink ref="O17" r:id="rId32" xr:uid="{00000000-0004-0000-0000-00001F000000}"/>
    <hyperlink ref="F18" r:id="rId33" xr:uid="{00000000-0004-0000-0000-000020000000}"/>
    <hyperlink ref="O18" r:id="rId34" xr:uid="{00000000-0004-0000-0000-000021000000}"/>
    <hyperlink ref="F19" r:id="rId35" xr:uid="{00000000-0004-0000-0000-000022000000}"/>
    <hyperlink ref="O19" r:id="rId36" xr:uid="{00000000-0004-0000-0000-000023000000}"/>
    <hyperlink ref="F20" r:id="rId37" xr:uid="{00000000-0004-0000-0000-000024000000}"/>
    <hyperlink ref="O20" r:id="rId38" xr:uid="{00000000-0004-0000-0000-000025000000}"/>
    <hyperlink ref="F21" r:id="rId39" xr:uid="{00000000-0004-0000-0000-000026000000}"/>
    <hyperlink ref="O21" r:id="rId40" xr:uid="{00000000-0004-0000-0000-000027000000}"/>
    <hyperlink ref="F22" r:id="rId41" xr:uid="{00000000-0004-0000-0000-000028000000}"/>
    <hyperlink ref="O22" r:id="rId42" xr:uid="{00000000-0004-0000-0000-000029000000}"/>
    <hyperlink ref="F23" r:id="rId43" xr:uid="{00000000-0004-0000-0000-00002A000000}"/>
    <hyperlink ref="O23" r:id="rId44" xr:uid="{00000000-0004-0000-0000-00002B000000}"/>
    <hyperlink ref="F24" r:id="rId45" xr:uid="{00000000-0004-0000-0000-00002C000000}"/>
    <hyperlink ref="O24" r:id="rId46" xr:uid="{00000000-0004-0000-0000-00002D000000}"/>
    <hyperlink ref="F25" r:id="rId47" xr:uid="{00000000-0004-0000-0000-00002E000000}"/>
    <hyperlink ref="O25" r:id="rId48" xr:uid="{00000000-0004-0000-0000-00002F000000}"/>
    <hyperlink ref="F26" r:id="rId49" xr:uid="{00000000-0004-0000-0000-000030000000}"/>
    <hyperlink ref="O26" r:id="rId50" xr:uid="{00000000-0004-0000-0000-000031000000}"/>
    <hyperlink ref="F27" r:id="rId51" xr:uid="{00000000-0004-0000-0000-000032000000}"/>
    <hyperlink ref="O27" r:id="rId52" xr:uid="{00000000-0004-0000-0000-000033000000}"/>
    <hyperlink ref="F28" r:id="rId53" xr:uid="{00000000-0004-0000-0000-000034000000}"/>
    <hyperlink ref="O28" r:id="rId54" xr:uid="{00000000-0004-0000-0000-000035000000}"/>
    <hyperlink ref="F29" r:id="rId55" xr:uid="{00000000-0004-0000-0000-000036000000}"/>
    <hyperlink ref="O29" r:id="rId56" xr:uid="{00000000-0004-0000-0000-000037000000}"/>
    <hyperlink ref="F30" r:id="rId57" xr:uid="{00000000-0004-0000-0000-000038000000}"/>
    <hyperlink ref="O30" r:id="rId58" xr:uid="{00000000-0004-0000-0000-000039000000}"/>
    <hyperlink ref="F31" r:id="rId59" xr:uid="{00000000-0004-0000-0000-00003A000000}"/>
    <hyperlink ref="O31" r:id="rId60" xr:uid="{00000000-0004-0000-0000-00003B000000}"/>
    <hyperlink ref="F32" r:id="rId61" xr:uid="{00000000-0004-0000-0000-00003C000000}"/>
    <hyperlink ref="O32" r:id="rId62" xr:uid="{00000000-0004-0000-0000-00003D000000}"/>
    <hyperlink ref="F33" r:id="rId63" xr:uid="{00000000-0004-0000-0000-00003E000000}"/>
    <hyperlink ref="O33" r:id="rId64" xr:uid="{00000000-0004-0000-0000-00003F000000}"/>
    <hyperlink ref="F34" r:id="rId65" xr:uid="{00000000-0004-0000-0000-000040000000}"/>
    <hyperlink ref="O34" r:id="rId66" xr:uid="{00000000-0004-0000-0000-000041000000}"/>
    <hyperlink ref="F35" r:id="rId67" xr:uid="{00000000-0004-0000-0000-000042000000}"/>
    <hyperlink ref="O35" r:id="rId68" xr:uid="{00000000-0004-0000-0000-000043000000}"/>
    <hyperlink ref="F36" r:id="rId69" xr:uid="{00000000-0004-0000-0000-000044000000}"/>
    <hyperlink ref="O36" r:id="rId70" xr:uid="{00000000-0004-0000-0000-000045000000}"/>
    <hyperlink ref="F37" r:id="rId71" xr:uid="{00000000-0004-0000-0000-000046000000}"/>
    <hyperlink ref="O37" r:id="rId72" xr:uid="{00000000-0004-0000-0000-000047000000}"/>
    <hyperlink ref="F38" r:id="rId73" xr:uid="{00000000-0004-0000-0000-000048000000}"/>
    <hyperlink ref="O38" r:id="rId74" xr:uid="{00000000-0004-0000-0000-000049000000}"/>
    <hyperlink ref="F39" r:id="rId75" xr:uid="{00000000-0004-0000-0000-00004A000000}"/>
    <hyperlink ref="O39" r:id="rId76" xr:uid="{00000000-0004-0000-0000-00004B000000}"/>
    <hyperlink ref="F40" r:id="rId77" xr:uid="{00000000-0004-0000-0000-00004C000000}"/>
    <hyperlink ref="O40" r:id="rId78" xr:uid="{00000000-0004-0000-0000-00004D000000}"/>
    <hyperlink ref="F41" r:id="rId79" xr:uid="{00000000-0004-0000-0000-00004E000000}"/>
    <hyperlink ref="O41" r:id="rId80" xr:uid="{00000000-0004-0000-0000-00004F000000}"/>
    <hyperlink ref="F42" r:id="rId81" xr:uid="{00000000-0004-0000-0000-000050000000}"/>
    <hyperlink ref="O42" r:id="rId82" xr:uid="{00000000-0004-0000-0000-000051000000}"/>
    <hyperlink ref="F43" r:id="rId83" xr:uid="{00000000-0004-0000-0000-000052000000}"/>
    <hyperlink ref="O43" r:id="rId84" xr:uid="{00000000-0004-0000-0000-000053000000}"/>
    <hyperlink ref="F44" r:id="rId85" xr:uid="{00000000-0004-0000-0000-000054000000}"/>
    <hyperlink ref="O44" r:id="rId86" xr:uid="{00000000-0004-0000-0000-000055000000}"/>
    <hyperlink ref="F45" r:id="rId87" xr:uid="{00000000-0004-0000-0000-000056000000}"/>
    <hyperlink ref="O45" r:id="rId88" xr:uid="{00000000-0004-0000-0000-000057000000}"/>
    <hyperlink ref="F46" r:id="rId89" xr:uid="{00000000-0004-0000-0000-000058000000}"/>
    <hyperlink ref="O46" r:id="rId90" xr:uid="{00000000-0004-0000-0000-000059000000}"/>
    <hyperlink ref="F47" r:id="rId91" xr:uid="{00000000-0004-0000-0000-00005A000000}"/>
    <hyperlink ref="O47" r:id="rId92" xr:uid="{00000000-0004-0000-0000-00005B000000}"/>
    <hyperlink ref="F48" r:id="rId93" xr:uid="{00000000-0004-0000-0000-00005C000000}"/>
    <hyperlink ref="O48" r:id="rId94" xr:uid="{00000000-0004-0000-0000-00005D000000}"/>
    <hyperlink ref="F49" r:id="rId95" xr:uid="{00000000-0004-0000-0000-00005E000000}"/>
    <hyperlink ref="O49" r:id="rId96" xr:uid="{00000000-0004-0000-0000-00005F000000}"/>
    <hyperlink ref="F50" r:id="rId97" xr:uid="{00000000-0004-0000-0000-000060000000}"/>
    <hyperlink ref="O50" r:id="rId98" xr:uid="{00000000-0004-0000-0000-000061000000}"/>
    <hyperlink ref="F51" r:id="rId99" xr:uid="{00000000-0004-0000-0000-000062000000}"/>
    <hyperlink ref="O51" r:id="rId100" xr:uid="{00000000-0004-0000-0000-000063000000}"/>
    <hyperlink ref="F52" r:id="rId101" xr:uid="{00000000-0004-0000-0000-000064000000}"/>
    <hyperlink ref="O52" r:id="rId102" xr:uid="{00000000-0004-0000-0000-000065000000}"/>
    <hyperlink ref="F53" r:id="rId103" xr:uid="{00000000-0004-0000-0000-000066000000}"/>
    <hyperlink ref="O53" r:id="rId104" xr:uid="{00000000-0004-0000-0000-000067000000}"/>
    <hyperlink ref="F54" r:id="rId105" xr:uid="{00000000-0004-0000-0000-000068000000}"/>
    <hyperlink ref="O54" r:id="rId106" xr:uid="{00000000-0004-0000-0000-000069000000}"/>
    <hyperlink ref="F55" r:id="rId107" xr:uid="{00000000-0004-0000-0000-00006A000000}"/>
    <hyperlink ref="O55" r:id="rId108" xr:uid="{00000000-0004-0000-0000-00006B000000}"/>
    <hyperlink ref="F56" r:id="rId109" xr:uid="{00000000-0004-0000-0000-00006C000000}"/>
    <hyperlink ref="O56" r:id="rId110" xr:uid="{00000000-0004-0000-0000-00006D000000}"/>
    <hyperlink ref="F57" r:id="rId111" xr:uid="{00000000-0004-0000-0000-00006E000000}"/>
    <hyperlink ref="O57" r:id="rId112" xr:uid="{00000000-0004-0000-0000-00006F000000}"/>
    <hyperlink ref="F58" r:id="rId113" xr:uid="{00000000-0004-0000-0000-000070000000}"/>
    <hyperlink ref="O58" r:id="rId114" xr:uid="{00000000-0004-0000-0000-000071000000}"/>
    <hyperlink ref="F59" r:id="rId115" xr:uid="{00000000-0004-0000-0000-000072000000}"/>
    <hyperlink ref="O59" r:id="rId116" xr:uid="{00000000-0004-0000-0000-000073000000}"/>
    <hyperlink ref="F60" r:id="rId117" xr:uid="{00000000-0004-0000-0000-000074000000}"/>
    <hyperlink ref="O60" r:id="rId118" xr:uid="{00000000-0004-0000-0000-000075000000}"/>
    <hyperlink ref="F61" r:id="rId119" xr:uid="{00000000-0004-0000-0000-000076000000}"/>
    <hyperlink ref="O61" r:id="rId120" xr:uid="{00000000-0004-0000-0000-000077000000}"/>
    <hyperlink ref="F62" r:id="rId121" xr:uid="{00000000-0004-0000-0000-000078000000}"/>
    <hyperlink ref="O62" r:id="rId122" xr:uid="{00000000-0004-0000-0000-000079000000}"/>
    <hyperlink ref="F63" r:id="rId123" xr:uid="{00000000-0004-0000-0000-00007A000000}"/>
    <hyperlink ref="O63" r:id="rId124" xr:uid="{00000000-0004-0000-0000-00007B000000}"/>
    <hyperlink ref="F64" r:id="rId125" xr:uid="{00000000-0004-0000-0000-00007C000000}"/>
    <hyperlink ref="O64" r:id="rId126" xr:uid="{00000000-0004-0000-0000-00007D000000}"/>
    <hyperlink ref="F65" r:id="rId127" xr:uid="{00000000-0004-0000-0000-00007E000000}"/>
    <hyperlink ref="O65" r:id="rId128" xr:uid="{00000000-0004-0000-0000-00007F000000}"/>
    <hyperlink ref="F66" r:id="rId129" xr:uid="{00000000-0004-0000-0000-000080000000}"/>
    <hyperlink ref="O66" r:id="rId130" xr:uid="{00000000-0004-0000-0000-000081000000}"/>
    <hyperlink ref="F67" r:id="rId131" xr:uid="{00000000-0004-0000-0000-000082000000}"/>
    <hyperlink ref="O67" r:id="rId132" xr:uid="{00000000-0004-0000-0000-000083000000}"/>
    <hyperlink ref="F68" r:id="rId133" xr:uid="{00000000-0004-0000-0000-000084000000}"/>
    <hyperlink ref="O68" r:id="rId134" xr:uid="{00000000-0004-0000-0000-000085000000}"/>
    <hyperlink ref="F69" r:id="rId135" xr:uid="{00000000-0004-0000-0000-000086000000}"/>
    <hyperlink ref="O69" r:id="rId136" xr:uid="{00000000-0004-0000-0000-000087000000}"/>
    <hyperlink ref="F70" r:id="rId137" xr:uid="{00000000-0004-0000-0000-000088000000}"/>
    <hyperlink ref="O70" r:id="rId138" xr:uid="{00000000-0004-0000-0000-000089000000}"/>
    <hyperlink ref="F71" r:id="rId139" xr:uid="{00000000-0004-0000-0000-00008A000000}"/>
    <hyperlink ref="O71" r:id="rId140" xr:uid="{00000000-0004-0000-0000-00008B000000}"/>
    <hyperlink ref="F72" r:id="rId141" xr:uid="{00000000-0004-0000-0000-00008C000000}"/>
    <hyperlink ref="O72" r:id="rId142" xr:uid="{00000000-0004-0000-0000-00008D000000}"/>
    <hyperlink ref="F73" r:id="rId143" xr:uid="{00000000-0004-0000-0000-00008E000000}"/>
    <hyperlink ref="O73" r:id="rId144" xr:uid="{00000000-0004-0000-0000-00008F000000}"/>
    <hyperlink ref="F74" r:id="rId145" xr:uid="{00000000-0004-0000-0000-000090000000}"/>
    <hyperlink ref="O74" r:id="rId146" xr:uid="{00000000-0004-0000-0000-000091000000}"/>
    <hyperlink ref="F75" r:id="rId147" xr:uid="{00000000-0004-0000-0000-000092000000}"/>
    <hyperlink ref="O75" r:id="rId148" xr:uid="{00000000-0004-0000-0000-000093000000}"/>
    <hyperlink ref="F76" r:id="rId149" xr:uid="{00000000-0004-0000-0000-000094000000}"/>
    <hyperlink ref="O76" r:id="rId150" xr:uid="{00000000-0004-0000-0000-000095000000}"/>
    <hyperlink ref="F77" r:id="rId151" xr:uid="{00000000-0004-0000-0000-000096000000}"/>
    <hyperlink ref="O77" r:id="rId152" xr:uid="{00000000-0004-0000-0000-000097000000}"/>
    <hyperlink ref="F78" r:id="rId153" xr:uid="{00000000-0004-0000-0000-000098000000}"/>
    <hyperlink ref="O78" r:id="rId154" xr:uid="{00000000-0004-0000-0000-000099000000}"/>
    <hyperlink ref="F79" r:id="rId155" xr:uid="{00000000-0004-0000-0000-00009A000000}"/>
    <hyperlink ref="O79" r:id="rId156" xr:uid="{00000000-0004-0000-0000-00009B000000}"/>
    <hyperlink ref="F80" r:id="rId157" xr:uid="{00000000-0004-0000-0000-00009C000000}"/>
    <hyperlink ref="O80" r:id="rId158" xr:uid="{00000000-0004-0000-0000-00009D000000}"/>
    <hyperlink ref="F81" r:id="rId159" xr:uid="{00000000-0004-0000-0000-00009E000000}"/>
    <hyperlink ref="O81" r:id="rId160" xr:uid="{00000000-0004-0000-0000-00009F000000}"/>
    <hyperlink ref="F82" r:id="rId161" xr:uid="{00000000-0004-0000-0000-0000A0000000}"/>
    <hyperlink ref="O82" r:id="rId162" xr:uid="{00000000-0004-0000-0000-0000A1000000}"/>
    <hyperlink ref="F83" r:id="rId163" xr:uid="{00000000-0004-0000-0000-0000A2000000}"/>
    <hyperlink ref="O83" r:id="rId164" xr:uid="{00000000-0004-0000-0000-0000A3000000}"/>
    <hyperlink ref="F84" r:id="rId165" xr:uid="{00000000-0004-0000-0000-0000A4000000}"/>
    <hyperlink ref="O84" r:id="rId166" xr:uid="{00000000-0004-0000-0000-0000A5000000}"/>
    <hyperlink ref="F85" r:id="rId167" xr:uid="{00000000-0004-0000-0000-0000A6000000}"/>
    <hyperlink ref="O85" r:id="rId168" xr:uid="{00000000-0004-0000-0000-0000A7000000}"/>
    <hyperlink ref="F86" r:id="rId169" xr:uid="{00000000-0004-0000-0000-0000A8000000}"/>
    <hyperlink ref="O86" r:id="rId170" xr:uid="{00000000-0004-0000-0000-0000A9000000}"/>
    <hyperlink ref="F87" r:id="rId171" xr:uid="{00000000-0004-0000-0000-0000AA000000}"/>
    <hyperlink ref="O87" r:id="rId172" xr:uid="{00000000-0004-0000-0000-0000AB000000}"/>
    <hyperlink ref="F88" r:id="rId173" xr:uid="{00000000-0004-0000-0000-0000AC000000}"/>
    <hyperlink ref="O88" r:id="rId174" xr:uid="{00000000-0004-0000-0000-0000AD000000}"/>
    <hyperlink ref="F89" r:id="rId175" xr:uid="{00000000-0004-0000-0000-0000AE000000}"/>
    <hyperlink ref="O89" r:id="rId176" xr:uid="{00000000-0004-0000-0000-0000AF000000}"/>
    <hyperlink ref="F90" r:id="rId177" xr:uid="{00000000-0004-0000-0000-0000B0000000}"/>
    <hyperlink ref="O90" r:id="rId178" xr:uid="{00000000-0004-0000-0000-0000B1000000}"/>
    <hyperlink ref="F91" r:id="rId179" xr:uid="{00000000-0004-0000-0000-0000B2000000}"/>
    <hyperlink ref="O91" r:id="rId180" xr:uid="{00000000-0004-0000-0000-0000B3000000}"/>
    <hyperlink ref="F92" r:id="rId181" xr:uid="{00000000-0004-0000-0000-0000B4000000}"/>
    <hyperlink ref="O92" r:id="rId182" xr:uid="{00000000-0004-0000-0000-0000B5000000}"/>
    <hyperlink ref="F93" r:id="rId183" xr:uid="{00000000-0004-0000-0000-0000B6000000}"/>
    <hyperlink ref="O93" r:id="rId184" xr:uid="{00000000-0004-0000-0000-0000B7000000}"/>
    <hyperlink ref="F94" r:id="rId185" xr:uid="{00000000-0004-0000-0000-0000B8000000}"/>
    <hyperlink ref="O94" r:id="rId186" xr:uid="{00000000-0004-0000-0000-0000B9000000}"/>
    <hyperlink ref="F95" r:id="rId187" xr:uid="{00000000-0004-0000-0000-0000BA000000}"/>
    <hyperlink ref="O95" r:id="rId188" xr:uid="{00000000-0004-0000-0000-0000BB000000}"/>
    <hyperlink ref="F96" r:id="rId189" xr:uid="{00000000-0004-0000-0000-0000BC000000}"/>
    <hyperlink ref="O96" r:id="rId190" xr:uid="{00000000-0004-0000-0000-0000BD000000}"/>
    <hyperlink ref="F97" r:id="rId191" xr:uid="{00000000-0004-0000-0000-0000BE000000}"/>
    <hyperlink ref="O97" r:id="rId192" xr:uid="{00000000-0004-0000-0000-0000BF000000}"/>
    <hyperlink ref="F98" r:id="rId193" xr:uid="{00000000-0004-0000-0000-0000C0000000}"/>
    <hyperlink ref="O98" r:id="rId194" xr:uid="{00000000-0004-0000-0000-0000C1000000}"/>
    <hyperlink ref="F99" r:id="rId195" xr:uid="{00000000-0004-0000-0000-0000C2000000}"/>
    <hyperlink ref="O99" r:id="rId196" xr:uid="{00000000-0004-0000-0000-0000C3000000}"/>
    <hyperlink ref="F100" r:id="rId197" xr:uid="{00000000-0004-0000-0000-0000C4000000}"/>
    <hyperlink ref="O100" r:id="rId198" xr:uid="{00000000-0004-0000-0000-0000C5000000}"/>
    <hyperlink ref="F101" r:id="rId199" xr:uid="{00000000-0004-0000-0000-0000C6000000}"/>
    <hyperlink ref="O101" r:id="rId200" xr:uid="{00000000-0004-0000-0000-0000C7000000}"/>
    <hyperlink ref="F102" r:id="rId201" xr:uid="{00000000-0004-0000-0000-0000C8000000}"/>
    <hyperlink ref="O102" r:id="rId202" xr:uid="{00000000-0004-0000-0000-0000C9000000}"/>
    <hyperlink ref="F103" r:id="rId203" xr:uid="{00000000-0004-0000-0000-0000CA000000}"/>
    <hyperlink ref="O103" r:id="rId204" xr:uid="{00000000-0004-0000-0000-0000CB000000}"/>
    <hyperlink ref="F104" r:id="rId205" xr:uid="{00000000-0004-0000-0000-0000CC000000}"/>
    <hyperlink ref="O104" r:id="rId206" xr:uid="{00000000-0004-0000-0000-0000CD000000}"/>
    <hyperlink ref="F105" r:id="rId207" xr:uid="{00000000-0004-0000-0000-0000CE000000}"/>
    <hyperlink ref="O105" r:id="rId208" xr:uid="{00000000-0004-0000-0000-0000CF000000}"/>
    <hyperlink ref="F106" r:id="rId209" xr:uid="{00000000-0004-0000-0000-0000D0000000}"/>
    <hyperlink ref="O106" r:id="rId210" xr:uid="{00000000-0004-0000-0000-0000D1000000}"/>
    <hyperlink ref="F107" r:id="rId211" xr:uid="{00000000-0004-0000-0000-0000D2000000}"/>
    <hyperlink ref="O107" r:id="rId212" xr:uid="{00000000-0004-0000-0000-0000D3000000}"/>
    <hyperlink ref="F108" r:id="rId213" xr:uid="{00000000-0004-0000-0000-0000D4000000}"/>
    <hyperlink ref="O108" r:id="rId214" xr:uid="{00000000-0004-0000-0000-0000D5000000}"/>
    <hyperlink ref="F109" r:id="rId215" xr:uid="{00000000-0004-0000-0000-0000D6000000}"/>
    <hyperlink ref="O109" r:id="rId216" xr:uid="{00000000-0004-0000-0000-0000D7000000}"/>
    <hyperlink ref="F110" r:id="rId217" xr:uid="{00000000-0004-0000-0000-0000D8000000}"/>
    <hyperlink ref="O110" r:id="rId218" xr:uid="{00000000-0004-0000-0000-0000D9000000}"/>
    <hyperlink ref="F111" r:id="rId219" xr:uid="{00000000-0004-0000-0000-0000DA000000}"/>
    <hyperlink ref="O111" r:id="rId220" xr:uid="{00000000-0004-0000-0000-0000DB000000}"/>
    <hyperlink ref="F112" r:id="rId221" xr:uid="{00000000-0004-0000-0000-0000DC000000}"/>
    <hyperlink ref="O112" r:id="rId222" xr:uid="{00000000-0004-0000-0000-0000DD000000}"/>
    <hyperlink ref="F113" r:id="rId223" xr:uid="{00000000-0004-0000-0000-0000DE000000}"/>
    <hyperlink ref="O113" r:id="rId224" xr:uid="{00000000-0004-0000-0000-0000DF000000}"/>
    <hyperlink ref="F114" r:id="rId225" xr:uid="{00000000-0004-0000-0000-0000E0000000}"/>
    <hyperlink ref="O114" r:id="rId226" xr:uid="{00000000-0004-0000-0000-0000E1000000}"/>
    <hyperlink ref="F115" r:id="rId227" xr:uid="{00000000-0004-0000-0000-0000E2000000}"/>
    <hyperlink ref="O115" r:id="rId228" xr:uid="{00000000-0004-0000-0000-0000E3000000}"/>
    <hyperlink ref="F116" r:id="rId229" xr:uid="{00000000-0004-0000-0000-0000E4000000}"/>
    <hyperlink ref="O116" r:id="rId230" xr:uid="{00000000-0004-0000-0000-0000E5000000}"/>
    <hyperlink ref="F117" r:id="rId231" xr:uid="{00000000-0004-0000-0000-0000E6000000}"/>
    <hyperlink ref="O117" r:id="rId232" xr:uid="{00000000-0004-0000-0000-0000E7000000}"/>
    <hyperlink ref="F118" r:id="rId233" xr:uid="{00000000-0004-0000-0000-0000E8000000}"/>
    <hyperlink ref="O118" r:id="rId234" xr:uid="{00000000-0004-0000-0000-0000E9000000}"/>
    <hyperlink ref="F119" r:id="rId235" xr:uid="{00000000-0004-0000-0000-0000EA000000}"/>
    <hyperlink ref="O119" r:id="rId236" xr:uid="{00000000-0004-0000-0000-0000EB000000}"/>
    <hyperlink ref="F120" r:id="rId237" xr:uid="{00000000-0004-0000-0000-0000EC000000}"/>
    <hyperlink ref="O120" r:id="rId238" xr:uid="{00000000-0004-0000-0000-0000ED000000}"/>
    <hyperlink ref="F121" r:id="rId239" xr:uid="{00000000-0004-0000-0000-0000EE000000}"/>
    <hyperlink ref="O121" r:id="rId240" xr:uid="{00000000-0004-0000-0000-0000EF000000}"/>
    <hyperlink ref="F122" r:id="rId241" xr:uid="{00000000-0004-0000-0000-0000F0000000}"/>
    <hyperlink ref="O122" r:id="rId242" xr:uid="{00000000-0004-0000-0000-0000F1000000}"/>
    <hyperlink ref="F123" r:id="rId243" xr:uid="{00000000-0004-0000-0000-0000F2000000}"/>
    <hyperlink ref="O123" r:id="rId244" xr:uid="{00000000-0004-0000-0000-0000F3000000}"/>
    <hyperlink ref="F124" r:id="rId245" xr:uid="{00000000-0004-0000-0000-0000F4000000}"/>
    <hyperlink ref="O124" r:id="rId246" xr:uid="{00000000-0004-0000-0000-0000F5000000}"/>
    <hyperlink ref="F125" r:id="rId247" xr:uid="{00000000-0004-0000-0000-0000F6000000}"/>
    <hyperlink ref="O125" r:id="rId248" xr:uid="{00000000-0004-0000-0000-0000F7000000}"/>
    <hyperlink ref="F126" r:id="rId249" xr:uid="{00000000-0004-0000-0000-0000F8000000}"/>
    <hyperlink ref="O126" r:id="rId250" xr:uid="{00000000-0004-0000-0000-0000F9000000}"/>
    <hyperlink ref="F127" r:id="rId251" xr:uid="{00000000-0004-0000-0000-0000FA000000}"/>
    <hyperlink ref="O127" r:id="rId252" xr:uid="{00000000-0004-0000-0000-0000FB000000}"/>
    <hyperlink ref="F128" r:id="rId253" xr:uid="{00000000-0004-0000-0000-0000FC000000}"/>
    <hyperlink ref="O128" r:id="rId254" xr:uid="{00000000-0004-0000-0000-0000FD000000}"/>
    <hyperlink ref="F129" r:id="rId255" xr:uid="{00000000-0004-0000-0000-0000FE000000}"/>
    <hyperlink ref="O129" r:id="rId256" xr:uid="{00000000-0004-0000-0000-0000FF000000}"/>
    <hyperlink ref="F130" r:id="rId257" xr:uid="{00000000-0004-0000-0000-000000010000}"/>
    <hyperlink ref="O130" r:id="rId258" xr:uid="{00000000-0004-0000-0000-000001010000}"/>
    <hyperlink ref="F131" r:id="rId259" xr:uid="{00000000-0004-0000-0000-000002010000}"/>
    <hyperlink ref="O131" r:id="rId260" xr:uid="{00000000-0004-0000-0000-000003010000}"/>
    <hyperlink ref="F132" r:id="rId261" xr:uid="{00000000-0004-0000-0000-000004010000}"/>
    <hyperlink ref="O132" r:id="rId262" xr:uid="{00000000-0004-0000-0000-000005010000}"/>
    <hyperlink ref="F133" r:id="rId263" xr:uid="{00000000-0004-0000-0000-000006010000}"/>
    <hyperlink ref="O133" r:id="rId264" xr:uid="{00000000-0004-0000-0000-000007010000}"/>
  </hyperlinks>
  <pageMargins left="0.75" right="0.75" top="1" bottom="1" header="0.5" footer="0.5"/>
  <legacy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selection sqref="A1:H1"/>
    </sheetView>
  </sheetViews>
  <sheetFormatPr defaultRowHeight="15" x14ac:dyDescent="0.25"/>
  <cols>
    <col min="1" max="8" width="28" customWidth="1"/>
  </cols>
  <sheetData>
    <row r="1" spans="1:8" ht="21" x14ac:dyDescent="0.35">
      <c r="A1" s="12" t="s">
        <v>699</v>
      </c>
      <c r="B1" s="11"/>
      <c r="C1" s="11"/>
      <c r="D1" s="11"/>
      <c r="E1" s="11"/>
      <c r="F1" s="11"/>
      <c r="G1" s="11"/>
      <c r="H1" s="11"/>
    </row>
    <row r="2" spans="1:8" x14ac:dyDescent="0.25">
      <c r="A2" s="11" t="s">
        <v>700</v>
      </c>
      <c r="B2" s="11"/>
      <c r="C2" s="11"/>
      <c r="D2" s="11"/>
      <c r="E2" s="11"/>
      <c r="F2" s="11"/>
      <c r="G2" s="11"/>
      <c r="H2" s="11"/>
    </row>
    <row r="4" spans="1:8" x14ac:dyDescent="0.25">
      <c r="A4" s="5" t="s">
        <v>701</v>
      </c>
      <c r="B4" s="5" t="s">
        <v>702</v>
      </c>
      <c r="C4" s="5"/>
      <c r="D4" s="5" t="s">
        <v>1</v>
      </c>
      <c r="E4" s="5" t="s">
        <v>703</v>
      </c>
      <c r="F4" s="5"/>
      <c r="G4" s="5" t="s">
        <v>704</v>
      </c>
      <c r="H4" s="5"/>
    </row>
    <row r="5" spans="1:8" ht="30" x14ac:dyDescent="0.25">
      <c r="A5" s="6" t="s">
        <v>705</v>
      </c>
      <c r="B5" s="6">
        <f>COUNTA('Global Expo Database'!E:E)-1</f>
        <v>132</v>
      </c>
      <c r="C5" s="6"/>
      <c r="D5" s="6" t="s">
        <v>346</v>
      </c>
      <c r="E5" s="6">
        <f>COUNTIF('Global Expo Database'!B:B,D5)</f>
        <v>5</v>
      </c>
      <c r="F5" s="6"/>
      <c r="G5" s="6" t="s">
        <v>706</v>
      </c>
      <c r="H5" s="6"/>
    </row>
    <row r="6" spans="1:8" ht="30" x14ac:dyDescent="0.25">
      <c r="A6" s="6" t="s">
        <v>707</v>
      </c>
      <c r="B6" s="6">
        <f>COUNTIF('Global Expo Database'!L:L,5)</f>
        <v>34</v>
      </c>
      <c r="C6" s="6"/>
      <c r="D6" s="6" t="s">
        <v>15</v>
      </c>
      <c r="E6" s="6">
        <f>COUNTIF('Global Expo Database'!B:B,D6)</f>
        <v>45</v>
      </c>
      <c r="F6" s="6"/>
      <c r="G6" s="6" t="s">
        <v>708</v>
      </c>
      <c r="H6" s="6"/>
    </row>
    <row r="7" spans="1:8" x14ac:dyDescent="0.25">
      <c r="A7" s="6" t="s">
        <v>709</v>
      </c>
      <c r="B7" s="6">
        <f>COUNTIF('Global Expo Database'!L:L,"&gt;=4")</f>
        <v>86</v>
      </c>
      <c r="C7" s="6"/>
      <c r="D7" s="6" t="s">
        <v>374</v>
      </c>
      <c r="E7" s="6">
        <f>COUNTIF('Global Expo Database'!B:B,D7)</f>
        <v>33</v>
      </c>
      <c r="F7" s="6"/>
      <c r="G7" s="6" t="s">
        <v>710</v>
      </c>
      <c r="H7" s="6"/>
    </row>
    <row r="8" spans="1:8" ht="45" x14ac:dyDescent="0.25">
      <c r="A8" s="6" t="s">
        <v>711</v>
      </c>
      <c r="B8" s="6">
        <f>COUNTIF('Global Expo Database'!C:C,"Vietnam")</f>
        <v>6</v>
      </c>
      <c r="C8" s="6"/>
      <c r="D8" s="6" t="s">
        <v>680</v>
      </c>
      <c r="E8" s="6">
        <f>COUNTIF('Global Expo Database'!B:B,D8)</f>
        <v>4</v>
      </c>
      <c r="F8" s="6"/>
      <c r="G8" s="6" t="s">
        <v>712</v>
      </c>
      <c r="H8" s="6"/>
    </row>
    <row r="9" spans="1:8" x14ac:dyDescent="0.25">
      <c r="A9" s="6" t="s">
        <v>713</v>
      </c>
      <c r="B9" s="6">
        <f>COUNTIF('Global Expo Database'!C:C,"Singapore")</f>
        <v>7</v>
      </c>
      <c r="C9" s="6"/>
      <c r="D9" s="6" t="s">
        <v>648</v>
      </c>
      <c r="E9" s="6">
        <f>COUNTIF('Global Expo Database'!B:B,D9)</f>
        <v>7</v>
      </c>
      <c r="F9" s="6"/>
      <c r="G9" s="6"/>
      <c r="H9" s="6"/>
    </row>
    <row r="10" spans="1:8" x14ac:dyDescent="0.25">
      <c r="A10" s="6"/>
      <c r="B10" s="6"/>
      <c r="C10" s="6"/>
      <c r="D10" s="6" t="s">
        <v>272</v>
      </c>
      <c r="E10" s="6">
        <f>COUNTIF('Global Expo Database'!B:B,D10)</f>
        <v>15</v>
      </c>
      <c r="F10" s="6"/>
      <c r="G10" s="6"/>
      <c r="H10" s="6"/>
    </row>
    <row r="11" spans="1:8" x14ac:dyDescent="0.25">
      <c r="A11" s="6"/>
      <c r="B11" s="6"/>
      <c r="C11" s="6"/>
      <c r="D11" s="6" t="s">
        <v>540</v>
      </c>
      <c r="E11" s="6">
        <f>COUNTIF('Global Expo Database'!B:B,D11)</f>
        <v>23</v>
      </c>
      <c r="F11" s="6"/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6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/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workbookViewId="0">
      <pane ySplit="1" topLeftCell="A8" activePane="bottomLeft" state="frozen"/>
      <selection pane="bottomLeft"/>
    </sheetView>
  </sheetViews>
  <sheetFormatPr defaultRowHeight="15" x14ac:dyDescent="0.25"/>
  <cols>
    <col min="1" max="1" width="8" customWidth="1"/>
    <col min="2" max="3" width="18" customWidth="1"/>
    <col min="4" max="4" width="22" customWidth="1"/>
    <col min="5" max="6" width="42" customWidth="1"/>
    <col min="7" max="7" width="24" customWidth="1"/>
    <col min="8" max="8" width="42" customWidth="1"/>
    <col min="9" max="9" width="18" customWidth="1"/>
    <col min="10" max="10" width="22" customWidth="1"/>
    <col min="11" max="11" width="28" customWidth="1"/>
    <col min="12" max="12" width="16" customWidth="1"/>
    <col min="13" max="13" width="28" customWidth="1"/>
    <col min="14" max="14" width="48" customWidth="1"/>
    <col min="15" max="15" width="42" customWidth="1"/>
  </cols>
  <sheetData>
    <row r="1" spans="1:15" ht="3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30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5</v>
      </c>
      <c r="M2" s="2" t="s">
        <v>25</v>
      </c>
      <c r="N2" s="2" t="s">
        <v>26</v>
      </c>
      <c r="O2" s="2" t="s">
        <v>19</v>
      </c>
    </row>
    <row r="3" spans="1:15" ht="30" x14ac:dyDescent="0.25">
      <c r="A3" s="2">
        <v>7</v>
      </c>
      <c r="B3" s="2" t="s">
        <v>15</v>
      </c>
      <c r="C3" s="2" t="s">
        <v>58</v>
      </c>
      <c r="D3" s="2" t="s">
        <v>58</v>
      </c>
      <c r="E3" s="2" t="s">
        <v>59</v>
      </c>
      <c r="F3" s="3" t="s">
        <v>60</v>
      </c>
      <c r="G3" s="2" t="s">
        <v>61</v>
      </c>
      <c r="H3" s="2" t="s">
        <v>62</v>
      </c>
      <c r="I3" s="2" t="s">
        <v>22</v>
      </c>
      <c r="J3" s="2" t="s">
        <v>63</v>
      </c>
      <c r="K3" s="2" t="s">
        <v>24</v>
      </c>
      <c r="L3" s="2">
        <v>5</v>
      </c>
      <c r="M3" s="2" t="s">
        <v>64</v>
      </c>
      <c r="N3" s="2"/>
      <c r="O3" s="2" t="s">
        <v>60</v>
      </c>
    </row>
    <row r="4" spans="1:15" ht="30" x14ac:dyDescent="0.25">
      <c r="A4" s="2">
        <v>8</v>
      </c>
      <c r="B4" s="2" t="s">
        <v>15</v>
      </c>
      <c r="C4" s="2" t="s">
        <v>58</v>
      </c>
      <c r="D4" s="2" t="s">
        <v>58</v>
      </c>
      <c r="E4" s="2" t="s">
        <v>65</v>
      </c>
      <c r="F4" s="3" t="s">
        <v>66</v>
      </c>
      <c r="G4" s="2" t="s">
        <v>67</v>
      </c>
      <c r="H4" s="2" t="s">
        <v>68</v>
      </c>
      <c r="I4" s="2" t="s">
        <v>22</v>
      </c>
      <c r="J4" s="2" t="s">
        <v>69</v>
      </c>
      <c r="K4" s="2" t="s">
        <v>70</v>
      </c>
      <c r="L4" s="2">
        <v>5</v>
      </c>
      <c r="M4" s="2" t="s">
        <v>71</v>
      </c>
      <c r="N4" s="2"/>
      <c r="O4" s="2" t="s">
        <v>66</v>
      </c>
    </row>
    <row r="5" spans="1:15" ht="30" x14ac:dyDescent="0.25">
      <c r="A5" s="2">
        <v>9</v>
      </c>
      <c r="B5" s="2" t="s">
        <v>15</v>
      </c>
      <c r="C5" s="2" t="s">
        <v>58</v>
      </c>
      <c r="D5" s="2" t="s">
        <v>58</v>
      </c>
      <c r="E5" s="2" t="s">
        <v>72</v>
      </c>
      <c r="F5" s="3" t="s">
        <v>73</v>
      </c>
      <c r="G5" s="2" t="s">
        <v>74</v>
      </c>
      <c r="H5" s="2" t="s">
        <v>75</v>
      </c>
      <c r="I5" s="2" t="s">
        <v>22</v>
      </c>
      <c r="J5" s="2" t="s">
        <v>76</v>
      </c>
      <c r="K5" s="2" t="s">
        <v>70</v>
      </c>
      <c r="L5" s="2">
        <v>5</v>
      </c>
      <c r="M5" s="2" t="s">
        <v>77</v>
      </c>
      <c r="N5" s="2"/>
      <c r="O5" s="2" t="s">
        <v>73</v>
      </c>
    </row>
    <row r="6" spans="1:15" ht="30" x14ac:dyDescent="0.25">
      <c r="A6" s="2">
        <v>10</v>
      </c>
      <c r="B6" s="2" t="s">
        <v>15</v>
      </c>
      <c r="C6" s="2" t="s">
        <v>58</v>
      </c>
      <c r="D6" s="2" t="s">
        <v>58</v>
      </c>
      <c r="E6" s="2" t="s">
        <v>78</v>
      </c>
      <c r="F6" s="3" t="s">
        <v>79</v>
      </c>
      <c r="G6" s="2" t="s">
        <v>80</v>
      </c>
      <c r="H6" s="2" t="s">
        <v>81</v>
      </c>
      <c r="I6" s="2" t="s">
        <v>31</v>
      </c>
      <c r="J6" s="2" t="s">
        <v>82</v>
      </c>
      <c r="K6" s="2" t="s">
        <v>33</v>
      </c>
      <c r="L6" s="2">
        <v>5</v>
      </c>
      <c r="M6" s="2" t="s">
        <v>83</v>
      </c>
      <c r="N6" s="2"/>
      <c r="O6" s="2" t="s">
        <v>79</v>
      </c>
    </row>
    <row r="7" spans="1:15" ht="30" x14ac:dyDescent="0.25">
      <c r="A7" s="2">
        <v>14</v>
      </c>
      <c r="B7" s="2" t="s">
        <v>15</v>
      </c>
      <c r="C7" s="2" t="s">
        <v>97</v>
      </c>
      <c r="D7" s="2" t="s">
        <v>98</v>
      </c>
      <c r="E7" s="2" t="s">
        <v>99</v>
      </c>
      <c r="F7" s="3" t="s">
        <v>100</v>
      </c>
      <c r="G7" s="2" t="s">
        <v>101</v>
      </c>
      <c r="H7" s="2" t="s">
        <v>102</v>
      </c>
      <c r="I7" s="2" t="s">
        <v>22</v>
      </c>
      <c r="J7" s="2" t="s">
        <v>103</v>
      </c>
      <c r="K7" s="2" t="s">
        <v>24</v>
      </c>
      <c r="L7" s="2">
        <v>5</v>
      </c>
      <c r="M7" s="2" t="s">
        <v>104</v>
      </c>
      <c r="N7" s="2" t="s">
        <v>105</v>
      </c>
      <c r="O7" s="2" t="s">
        <v>100</v>
      </c>
    </row>
    <row r="8" spans="1:15" ht="30" x14ac:dyDescent="0.25">
      <c r="A8" s="2">
        <v>15</v>
      </c>
      <c r="B8" s="2" t="s">
        <v>15</v>
      </c>
      <c r="C8" s="2" t="s">
        <v>97</v>
      </c>
      <c r="D8" s="2" t="s">
        <v>98</v>
      </c>
      <c r="E8" s="2" t="s">
        <v>106</v>
      </c>
      <c r="F8" s="3" t="s">
        <v>107</v>
      </c>
      <c r="G8" s="2" t="s">
        <v>74</v>
      </c>
      <c r="H8" s="2" t="s">
        <v>108</v>
      </c>
      <c r="I8" s="2" t="s">
        <v>22</v>
      </c>
      <c r="J8" s="2" t="s">
        <v>109</v>
      </c>
      <c r="K8" s="2" t="s">
        <v>24</v>
      </c>
      <c r="L8" s="2">
        <v>5</v>
      </c>
      <c r="M8" s="2" t="s">
        <v>110</v>
      </c>
      <c r="N8" s="2"/>
      <c r="O8" s="2" t="s">
        <v>107</v>
      </c>
    </row>
    <row r="9" spans="1:15" ht="30" x14ac:dyDescent="0.25">
      <c r="A9" s="2">
        <v>16</v>
      </c>
      <c r="B9" s="2" t="s">
        <v>15</v>
      </c>
      <c r="C9" s="2" t="s">
        <v>97</v>
      </c>
      <c r="D9" s="2" t="s">
        <v>111</v>
      </c>
      <c r="E9" s="2" t="s">
        <v>112</v>
      </c>
      <c r="F9" s="3" t="s">
        <v>113</v>
      </c>
      <c r="G9" s="2" t="s">
        <v>114</v>
      </c>
      <c r="H9" s="2" t="s">
        <v>115</v>
      </c>
      <c r="I9" s="2" t="s">
        <v>22</v>
      </c>
      <c r="J9" s="2" t="s">
        <v>69</v>
      </c>
      <c r="K9" s="2" t="s">
        <v>70</v>
      </c>
      <c r="L9" s="2">
        <v>5</v>
      </c>
      <c r="M9" s="2" t="s">
        <v>116</v>
      </c>
      <c r="N9" s="2"/>
      <c r="O9" s="2" t="s">
        <v>113</v>
      </c>
    </row>
    <row r="10" spans="1:15" ht="30" x14ac:dyDescent="0.25">
      <c r="A10" s="2">
        <v>17</v>
      </c>
      <c r="B10" s="2" t="s">
        <v>15</v>
      </c>
      <c r="C10" s="2" t="s">
        <v>117</v>
      </c>
      <c r="D10" s="2" t="s">
        <v>118</v>
      </c>
      <c r="E10" s="2" t="s">
        <v>119</v>
      </c>
      <c r="F10" s="3" t="s">
        <v>120</v>
      </c>
      <c r="G10" s="2" t="s">
        <v>101</v>
      </c>
      <c r="H10" s="2" t="s">
        <v>121</v>
      </c>
      <c r="I10" s="2" t="s">
        <v>22</v>
      </c>
      <c r="J10" s="2" t="s">
        <v>122</v>
      </c>
      <c r="K10" s="2" t="s">
        <v>70</v>
      </c>
      <c r="L10" s="2">
        <v>5</v>
      </c>
      <c r="M10" s="2" t="s">
        <v>123</v>
      </c>
      <c r="N10" s="2"/>
      <c r="O10" s="2" t="s">
        <v>120</v>
      </c>
    </row>
    <row r="11" spans="1:15" ht="30" x14ac:dyDescent="0.25">
      <c r="A11" s="2">
        <v>19</v>
      </c>
      <c r="B11" s="2" t="s">
        <v>15</v>
      </c>
      <c r="C11" s="2" t="s">
        <v>129</v>
      </c>
      <c r="D11" s="2" t="s">
        <v>130</v>
      </c>
      <c r="E11" s="2" t="s">
        <v>131</v>
      </c>
      <c r="F11" s="3" t="s">
        <v>132</v>
      </c>
      <c r="G11" s="2" t="s">
        <v>20</v>
      </c>
      <c r="H11" s="2" t="s">
        <v>133</v>
      </c>
      <c r="I11" s="2" t="s">
        <v>22</v>
      </c>
      <c r="J11" s="2" t="s">
        <v>134</v>
      </c>
      <c r="K11" s="2" t="s">
        <v>24</v>
      </c>
      <c r="L11" s="2">
        <v>5</v>
      </c>
      <c r="M11" s="2" t="s">
        <v>64</v>
      </c>
      <c r="N11" s="2"/>
      <c r="O11" s="2" t="s">
        <v>132</v>
      </c>
    </row>
    <row r="12" spans="1:15" ht="30" x14ac:dyDescent="0.25">
      <c r="A12" s="2">
        <v>25</v>
      </c>
      <c r="B12" s="2" t="s">
        <v>15</v>
      </c>
      <c r="C12" s="2" t="s">
        <v>161</v>
      </c>
      <c r="D12" s="2" t="s">
        <v>162</v>
      </c>
      <c r="E12" s="2" t="s">
        <v>163</v>
      </c>
      <c r="F12" s="3" t="s">
        <v>164</v>
      </c>
      <c r="G12" s="2" t="s">
        <v>20</v>
      </c>
      <c r="H12" s="2" t="s">
        <v>165</v>
      </c>
      <c r="I12" s="2" t="s">
        <v>22</v>
      </c>
      <c r="J12" s="2" t="s">
        <v>166</v>
      </c>
      <c r="K12" s="2" t="s">
        <v>70</v>
      </c>
      <c r="L12" s="2">
        <v>5</v>
      </c>
      <c r="M12" s="2" t="s">
        <v>167</v>
      </c>
      <c r="N12" s="2"/>
      <c r="O12" s="2" t="s">
        <v>164</v>
      </c>
    </row>
    <row r="13" spans="1:15" x14ac:dyDescent="0.25">
      <c r="A13" s="2">
        <v>29</v>
      </c>
      <c r="B13" s="2" t="s">
        <v>15</v>
      </c>
      <c r="C13" s="2" t="s">
        <v>184</v>
      </c>
      <c r="D13" s="2" t="s">
        <v>185</v>
      </c>
      <c r="E13" s="2" t="s">
        <v>186</v>
      </c>
      <c r="F13" s="3" t="s">
        <v>187</v>
      </c>
      <c r="G13" s="2" t="s">
        <v>61</v>
      </c>
      <c r="H13" s="2" t="s">
        <v>188</v>
      </c>
      <c r="I13" s="2" t="s">
        <v>22</v>
      </c>
      <c r="J13" s="2" t="s">
        <v>189</v>
      </c>
      <c r="K13" s="2" t="s">
        <v>70</v>
      </c>
      <c r="L13" s="2">
        <v>5</v>
      </c>
      <c r="M13" s="2" t="s">
        <v>190</v>
      </c>
      <c r="N13" s="2"/>
      <c r="O13" s="2" t="s">
        <v>187</v>
      </c>
    </row>
    <row r="14" spans="1:15" x14ac:dyDescent="0.25">
      <c r="A14" s="2">
        <v>46</v>
      </c>
      <c r="B14" s="2" t="s">
        <v>272</v>
      </c>
      <c r="C14" s="2" t="s">
        <v>273</v>
      </c>
      <c r="D14" s="2" t="s">
        <v>274</v>
      </c>
      <c r="E14" s="2" t="s">
        <v>275</v>
      </c>
      <c r="F14" s="3" t="s">
        <v>276</v>
      </c>
      <c r="G14" s="2" t="s">
        <v>20</v>
      </c>
      <c r="H14" s="2" t="s">
        <v>133</v>
      </c>
      <c r="I14" s="2" t="s">
        <v>22</v>
      </c>
      <c r="J14" s="2" t="s">
        <v>240</v>
      </c>
      <c r="K14" s="2" t="s">
        <v>70</v>
      </c>
      <c r="L14" s="2">
        <v>5</v>
      </c>
      <c r="M14" s="2" t="s">
        <v>277</v>
      </c>
      <c r="N14" s="2"/>
      <c r="O14" s="2" t="s">
        <v>276</v>
      </c>
    </row>
    <row r="15" spans="1:15" ht="30" x14ac:dyDescent="0.25">
      <c r="A15" s="2">
        <v>48</v>
      </c>
      <c r="B15" s="2" t="s">
        <v>272</v>
      </c>
      <c r="C15" s="2" t="s">
        <v>273</v>
      </c>
      <c r="D15" s="2" t="s">
        <v>274</v>
      </c>
      <c r="E15" s="2" t="s">
        <v>282</v>
      </c>
      <c r="F15" s="3" t="s">
        <v>283</v>
      </c>
      <c r="G15" s="2" t="s">
        <v>284</v>
      </c>
      <c r="H15" s="2" t="s">
        <v>285</v>
      </c>
      <c r="I15" s="2" t="s">
        <v>22</v>
      </c>
      <c r="J15" s="2" t="s">
        <v>286</v>
      </c>
      <c r="K15" s="2" t="s">
        <v>24</v>
      </c>
      <c r="L15" s="2">
        <v>5</v>
      </c>
      <c r="M15" s="2" t="s">
        <v>287</v>
      </c>
      <c r="N15" s="2"/>
      <c r="O15" s="2" t="s">
        <v>283</v>
      </c>
    </row>
    <row r="16" spans="1:15" x14ac:dyDescent="0.25">
      <c r="A16" s="2">
        <v>54</v>
      </c>
      <c r="B16" s="2" t="s">
        <v>272</v>
      </c>
      <c r="C16" s="2" t="s">
        <v>309</v>
      </c>
      <c r="D16" s="2" t="s">
        <v>310</v>
      </c>
      <c r="E16" s="2" t="s">
        <v>311</v>
      </c>
      <c r="F16" s="3" t="s">
        <v>312</v>
      </c>
      <c r="G16" s="2" t="s">
        <v>20</v>
      </c>
      <c r="H16" s="2" t="s">
        <v>313</v>
      </c>
      <c r="I16" s="2" t="s">
        <v>22</v>
      </c>
      <c r="J16" s="2" t="s">
        <v>63</v>
      </c>
      <c r="K16" s="2" t="s">
        <v>24</v>
      </c>
      <c r="L16" s="2">
        <v>5</v>
      </c>
      <c r="M16" s="2" t="s">
        <v>314</v>
      </c>
      <c r="N16" s="2"/>
      <c r="O16" s="2" t="s">
        <v>312</v>
      </c>
    </row>
    <row r="17" spans="1:15" x14ac:dyDescent="0.25">
      <c r="A17" s="2">
        <v>56</v>
      </c>
      <c r="B17" s="2" t="s">
        <v>272</v>
      </c>
      <c r="C17" s="2" t="s">
        <v>320</v>
      </c>
      <c r="D17" s="2" t="s">
        <v>321</v>
      </c>
      <c r="E17" s="2" t="s">
        <v>322</v>
      </c>
      <c r="F17" s="3" t="s">
        <v>323</v>
      </c>
      <c r="G17" s="2" t="s">
        <v>20</v>
      </c>
      <c r="H17" s="2" t="s">
        <v>324</v>
      </c>
      <c r="I17" s="2" t="s">
        <v>22</v>
      </c>
      <c r="J17" s="2" t="s">
        <v>325</v>
      </c>
      <c r="K17" s="2" t="s">
        <v>70</v>
      </c>
      <c r="L17" s="2">
        <v>5</v>
      </c>
      <c r="M17" s="2" t="s">
        <v>326</v>
      </c>
      <c r="N17" s="2"/>
      <c r="O17" s="2" t="s">
        <v>323</v>
      </c>
    </row>
    <row r="18" spans="1:15" ht="30" x14ac:dyDescent="0.25">
      <c r="A18" s="2">
        <v>66</v>
      </c>
      <c r="B18" s="2" t="s">
        <v>374</v>
      </c>
      <c r="C18" s="2" t="s">
        <v>375</v>
      </c>
      <c r="D18" s="2" t="s">
        <v>376</v>
      </c>
      <c r="E18" s="2" t="s">
        <v>377</v>
      </c>
      <c r="F18" s="3" t="s">
        <v>378</v>
      </c>
      <c r="G18" s="2" t="s">
        <v>20</v>
      </c>
      <c r="H18" s="2" t="s">
        <v>379</v>
      </c>
      <c r="I18" s="2" t="s">
        <v>22</v>
      </c>
      <c r="J18" s="2" t="s">
        <v>380</v>
      </c>
      <c r="K18" s="2" t="s">
        <v>24</v>
      </c>
      <c r="L18" s="2">
        <v>5</v>
      </c>
      <c r="M18" s="2" t="s">
        <v>381</v>
      </c>
      <c r="N18" s="2"/>
      <c r="O18" s="2" t="s">
        <v>378</v>
      </c>
    </row>
    <row r="19" spans="1:15" x14ac:dyDescent="0.25">
      <c r="A19" s="2">
        <v>67</v>
      </c>
      <c r="B19" s="2" t="s">
        <v>374</v>
      </c>
      <c r="C19" s="2" t="s">
        <v>375</v>
      </c>
      <c r="D19" s="2" t="s">
        <v>376</v>
      </c>
      <c r="E19" s="2" t="s">
        <v>382</v>
      </c>
      <c r="F19" s="3" t="s">
        <v>383</v>
      </c>
      <c r="G19" s="2" t="s">
        <v>74</v>
      </c>
      <c r="H19" s="2" t="s">
        <v>384</v>
      </c>
      <c r="I19" s="2" t="s">
        <v>22</v>
      </c>
      <c r="J19" s="2" t="s">
        <v>122</v>
      </c>
      <c r="K19" s="2" t="s">
        <v>70</v>
      </c>
      <c r="L19" s="2">
        <v>5</v>
      </c>
      <c r="M19" s="2" t="s">
        <v>385</v>
      </c>
      <c r="N19" s="2"/>
      <c r="O19" s="2" t="s">
        <v>383</v>
      </c>
    </row>
    <row r="20" spans="1:15" x14ac:dyDescent="0.25">
      <c r="A20" s="2">
        <v>69</v>
      </c>
      <c r="B20" s="2" t="s">
        <v>374</v>
      </c>
      <c r="C20" s="2" t="s">
        <v>375</v>
      </c>
      <c r="D20" s="2" t="s">
        <v>386</v>
      </c>
      <c r="E20" s="2" t="s">
        <v>389</v>
      </c>
      <c r="F20" s="3" t="s">
        <v>390</v>
      </c>
      <c r="G20" s="2" t="s">
        <v>67</v>
      </c>
      <c r="H20" s="2" t="s">
        <v>391</v>
      </c>
      <c r="I20" s="2" t="s">
        <v>22</v>
      </c>
      <c r="J20" s="2" t="s">
        <v>331</v>
      </c>
      <c r="K20" s="2" t="s">
        <v>24</v>
      </c>
      <c r="L20" s="2">
        <v>5</v>
      </c>
      <c r="M20" s="2" t="s">
        <v>392</v>
      </c>
      <c r="N20" s="2"/>
      <c r="O20" s="2" t="s">
        <v>390</v>
      </c>
    </row>
    <row r="21" spans="1:15" x14ac:dyDescent="0.25">
      <c r="A21" s="2">
        <v>71</v>
      </c>
      <c r="B21" s="2" t="s">
        <v>374</v>
      </c>
      <c r="C21" s="2" t="s">
        <v>398</v>
      </c>
      <c r="D21" s="2" t="s">
        <v>399</v>
      </c>
      <c r="E21" s="2" t="s">
        <v>400</v>
      </c>
      <c r="F21" s="3" t="s">
        <v>401</v>
      </c>
      <c r="G21" s="2" t="s">
        <v>20</v>
      </c>
      <c r="H21" s="2" t="s">
        <v>402</v>
      </c>
      <c r="I21" s="2" t="s">
        <v>22</v>
      </c>
      <c r="J21" s="2" t="s">
        <v>403</v>
      </c>
      <c r="K21" s="2" t="s">
        <v>70</v>
      </c>
      <c r="L21" s="2">
        <v>5</v>
      </c>
      <c r="M21" s="2" t="s">
        <v>404</v>
      </c>
      <c r="N21" s="2"/>
      <c r="O21" s="2" t="s">
        <v>401</v>
      </c>
    </row>
    <row r="22" spans="1:15" ht="30" x14ac:dyDescent="0.25">
      <c r="A22" s="2">
        <v>73</v>
      </c>
      <c r="B22" s="2" t="s">
        <v>374</v>
      </c>
      <c r="C22" s="2" t="s">
        <v>398</v>
      </c>
      <c r="D22" s="2" t="s">
        <v>405</v>
      </c>
      <c r="E22" s="2" t="s">
        <v>410</v>
      </c>
      <c r="F22" s="3" t="s">
        <v>411</v>
      </c>
      <c r="G22" s="2" t="s">
        <v>74</v>
      </c>
      <c r="H22" s="2" t="s">
        <v>412</v>
      </c>
      <c r="I22" s="2" t="s">
        <v>31</v>
      </c>
      <c r="J22" s="2" t="s">
        <v>182</v>
      </c>
      <c r="K22" s="2" t="s">
        <v>33</v>
      </c>
      <c r="L22" s="2">
        <v>5</v>
      </c>
      <c r="M22" s="2" t="s">
        <v>413</v>
      </c>
      <c r="N22" s="2"/>
      <c r="O22" s="2" t="s">
        <v>411</v>
      </c>
    </row>
    <row r="23" spans="1:15" ht="30" x14ac:dyDescent="0.25">
      <c r="A23" s="2">
        <v>79</v>
      </c>
      <c r="B23" s="2" t="s">
        <v>374</v>
      </c>
      <c r="C23" s="2" t="s">
        <v>431</v>
      </c>
      <c r="D23" s="2" t="s">
        <v>436</v>
      </c>
      <c r="E23" s="2" t="s">
        <v>437</v>
      </c>
      <c r="F23" s="3" t="s">
        <v>438</v>
      </c>
      <c r="G23" s="2" t="s">
        <v>229</v>
      </c>
      <c r="H23" s="2" t="s">
        <v>439</v>
      </c>
      <c r="I23" s="2" t="s">
        <v>22</v>
      </c>
      <c r="J23" s="2" t="s">
        <v>291</v>
      </c>
      <c r="K23" s="2" t="s">
        <v>24</v>
      </c>
      <c r="L23" s="2">
        <v>5</v>
      </c>
      <c r="M23" s="2" t="s">
        <v>440</v>
      </c>
      <c r="N23" s="2"/>
      <c r="O23" s="2" t="s">
        <v>438</v>
      </c>
    </row>
    <row r="24" spans="1:15" x14ac:dyDescent="0.25">
      <c r="A24" s="2">
        <v>95</v>
      </c>
      <c r="B24" s="2" t="s">
        <v>374</v>
      </c>
      <c r="C24" s="2" t="s">
        <v>518</v>
      </c>
      <c r="D24" s="2" t="s">
        <v>519</v>
      </c>
      <c r="E24" s="2" t="s">
        <v>520</v>
      </c>
      <c r="F24" s="3" t="s">
        <v>521</v>
      </c>
      <c r="G24" s="2" t="s">
        <v>522</v>
      </c>
      <c r="H24" s="2" t="s">
        <v>523</v>
      </c>
      <c r="I24" s="2" t="s">
        <v>31</v>
      </c>
      <c r="J24" s="2" t="s">
        <v>166</v>
      </c>
      <c r="K24" s="2" t="s">
        <v>33</v>
      </c>
      <c r="L24" s="2">
        <v>5</v>
      </c>
      <c r="M24" s="2" t="s">
        <v>524</v>
      </c>
      <c r="N24" s="2"/>
      <c r="O24" s="2" t="s">
        <v>521</v>
      </c>
    </row>
    <row r="25" spans="1:15" ht="30" x14ac:dyDescent="0.25">
      <c r="A25" s="2">
        <v>96</v>
      </c>
      <c r="B25" s="2" t="s">
        <v>374</v>
      </c>
      <c r="C25" s="2" t="s">
        <v>518</v>
      </c>
      <c r="D25" s="2" t="s">
        <v>519</v>
      </c>
      <c r="E25" s="2" t="s">
        <v>525</v>
      </c>
      <c r="F25" s="3" t="s">
        <v>526</v>
      </c>
      <c r="G25" s="2" t="s">
        <v>522</v>
      </c>
      <c r="H25" s="2" t="s">
        <v>527</v>
      </c>
      <c r="I25" s="2" t="s">
        <v>31</v>
      </c>
      <c r="J25" s="2" t="s">
        <v>166</v>
      </c>
      <c r="K25" s="2" t="s">
        <v>33</v>
      </c>
      <c r="L25" s="2">
        <v>5</v>
      </c>
      <c r="M25" s="2" t="s">
        <v>524</v>
      </c>
      <c r="N25" s="2"/>
      <c r="O25" s="2" t="s">
        <v>526</v>
      </c>
    </row>
    <row r="26" spans="1:15" x14ac:dyDescent="0.25">
      <c r="A26" s="2">
        <v>99</v>
      </c>
      <c r="B26" s="2" t="s">
        <v>540</v>
      </c>
      <c r="C26" s="2" t="s">
        <v>541</v>
      </c>
      <c r="D26" s="2" t="s">
        <v>542</v>
      </c>
      <c r="E26" s="2" t="s">
        <v>543</v>
      </c>
      <c r="F26" s="3" t="s">
        <v>544</v>
      </c>
      <c r="G26" s="2" t="s">
        <v>194</v>
      </c>
      <c r="H26" s="2" t="s">
        <v>545</v>
      </c>
      <c r="I26" s="2" t="s">
        <v>31</v>
      </c>
      <c r="J26" s="2" t="s">
        <v>87</v>
      </c>
      <c r="K26" s="2" t="s">
        <v>33</v>
      </c>
      <c r="L26" s="2">
        <v>5</v>
      </c>
      <c r="M26" s="2" t="s">
        <v>546</v>
      </c>
      <c r="N26" s="2"/>
      <c r="O26" s="2" t="s">
        <v>544</v>
      </c>
    </row>
    <row r="27" spans="1:15" ht="30" x14ac:dyDescent="0.25">
      <c r="A27" s="2">
        <v>100</v>
      </c>
      <c r="B27" s="2" t="s">
        <v>540</v>
      </c>
      <c r="C27" s="2" t="s">
        <v>541</v>
      </c>
      <c r="D27" s="2" t="s">
        <v>547</v>
      </c>
      <c r="E27" s="2" t="s">
        <v>548</v>
      </c>
      <c r="F27" s="3" t="s">
        <v>549</v>
      </c>
      <c r="G27" s="2" t="s">
        <v>550</v>
      </c>
      <c r="H27" s="2" t="s">
        <v>551</v>
      </c>
      <c r="I27" s="2" t="s">
        <v>31</v>
      </c>
      <c r="J27" s="2" t="s">
        <v>76</v>
      </c>
      <c r="K27" s="2" t="s">
        <v>33</v>
      </c>
      <c r="L27" s="2">
        <v>5</v>
      </c>
      <c r="M27" s="2" t="s">
        <v>552</v>
      </c>
      <c r="N27" s="2"/>
      <c r="O27" s="2" t="s">
        <v>549</v>
      </c>
    </row>
    <row r="28" spans="1:15" x14ac:dyDescent="0.25">
      <c r="A28" s="2">
        <v>101</v>
      </c>
      <c r="B28" s="2" t="s">
        <v>540</v>
      </c>
      <c r="C28" s="2" t="s">
        <v>541</v>
      </c>
      <c r="D28" s="2" t="s">
        <v>553</v>
      </c>
      <c r="E28" s="2" t="s">
        <v>554</v>
      </c>
      <c r="F28" s="3" t="s">
        <v>555</v>
      </c>
      <c r="G28" s="2" t="s">
        <v>343</v>
      </c>
      <c r="H28" s="2" t="s">
        <v>556</v>
      </c>
      <c r="I28" s="2" t="s">
        <v>31</v>
      </c>
      <c r="J28" s="2" t="s">
        <v>166</v>
      </c>
      <c r="K28" s="2" t="s">
        <v>33</v>
      </c>
      <c r="L28" s="2">
        <v>5</v>
      </c>
      <c r="M28" s="2" t="s">
        <v>557</v>
      </c>
      <c r="N28" s="2"/>
      <c r="O28" s="2" t="s">
        <v>555</v>
      </c>
    </row>
    <row r="29" spans="1:15" x14ac:dyDescent="0.25">
      <c r="A29" s="2">
        <v>106</v>
      </c>
      <c r="B29" s="2" t="s">
        <v>540</v>
      </c>
      <c r="C29" s="2" t="s">
        <v>541</v>
      </c>
      <c r="D29" s="2" t="s">
        <v>542</v>
      </c>
      <c r="E29" s="2" t="s">
        <v>577</v>
      </c>
      <c r="F29" s="3" t="s">
        <v>578</v>
      </c>
      <c r="G29" s="2" t="s">
        <v>522</v>
      </c>
      <c r="H29" s="2" t="s">
        <v>523</v>
      </c>
      <c r="I29" s="2" t="s">
        <v>31</v>
      </c>
      <c r="J29" s="2" t="s">
        <v>510</v>
      </c>
      <c r="K29" s="2" t="s">
        <v>33</v>
      </c>
      <c r="L29" s="2">
        <v>5</v>
      </c>
      <c r="M29" s="2" t="s">
        <v>524</v>
      </c>
      <c r="N29" s="2"/>
      <c r="O29" s="2" t="s">
        <v>578</v>
      </c>
    </row>
    <row r="30" spans="1:15" ht="30" x14ac:dyDescent="0.25">
      <c r="A30" s="2">
        <v>108</v>
      </c>
      <c r="B30" s="2" t="s">
        <v>540</v>
      </c>
      <c r="C30" s="2" t="s">
        <v>541</v>
      </c>
      <c r="D30" s="2" t="s">
        <v>585</v>
      </c>
      <c r="E30" s="2" t="s">
        <v>586</v>
      </c>
      <c r="F30" s="3" t="s">
        <v>587</v>
      </c>
      <c r="G30" s="2" t="s">
        <v>588</v>
      </c>
      <c r="H30" s="2" t="s">
        <v>589</v>
      </c>
      <c r="I30" s="2" t="s">
        <v>31</v>
      </c>
      <c r="J30" s="2" t="s">
        <v>52</v>
      </c>
      <c r="K30" s="2" t="s">
        <v>33</v>
      </c>
      <c r="L30" s="2">
        <v>5</v>
      </c>
      <c r="M30" s="2" t="s">
        <v>590</v>
      </c>
      <c r="N30" s="2"/>
      <c r="O30" s="2" t="s">
        <v>587</v>
      </c>
    </row>
    <row r="31" spans="1:15" ht="30" x14ac:dyDescent="0.25">
      <c r="A31" s="2">
        <v>109</v>
      </c>
      <c r="B31" s="2" t="s">
        <v>540</v>
      </c>
      <c r="C31" s="2" t="s">
        <v>541</v>
      </c>
      <c r="D31" s="2" t="s">
        <v>591</v>
      </c>
      <c r="E31" s="2" t="s">
        <v>592</v>
      </c>
      <c r="F31" s="3" t="s">
        <v>593</v>
      </c>
      <c r="G31" s="2" t="s">
        <v>588</v>
      </c>
      <c r="H31" s="2" t="s">
        <v>594</v>
      </c>
      <c r="I31" s="2" t="s">
        <v>31</v>
      </c>
      <c r="J31" s="2" t="s">
        <v>82</v>
      </c>
      <c r="K31" s="2" t="s">
        <v>33</v>
      </c>
      <c r="L31" s="2">
        <v>5</v>
      </c>
      <c r="M31" s="2" t="s">
        <v>595</v>
      </c>
      <c r="N31" s="2"/>
      <c r="O31" s="2" t="s">
        <v>593</v>
      </c>
    </row>
    <row r="32" spans="1:15" ht="30" x14ac:dyDescent="0.25">
      <c r="A32" s="2">
        <v>113</v>
      </c>
      <c r="B32" s="2" t="s">
        <v>540</v>
      </c>
      <c r="C32" s="2" t="s">
        <v>541</v>
      </c>
      <c r="D32" s="2" t="s">
        <v>607</v>
      </c>
      <c r="E32" s="2" t="s">
        <v>608</v>
      </c>
      <c r="F32" s="3" t="s">
        <v>609</v>
      </c>
      <c r="G32" s="2" t="s">
        <v>530</v>
      </c>
      <c r="H32" s="2" t="s">
        <v>610</v>
      </c>
      <c r="I32" s="2" t="s">
        <v>31</v>
      </c>
      <c r="J32" s="2" t="s">
        <v>76</v>
      </c>
      <c r="K32" s="2" t="s">
        <v>33</v>
      </c>
      <c r="L32" s="2">
        <v>5</v>
      </c>
      <c r="M32" s="2" t="s">
        <v>611</v>
      </c>
      <c r="N32" s="2"/>
      <c r="O32" s="2" t="s">
        <v>609</v>
      </c>
    </row>
    <row r="33" spans="1:15" x14ac:dyDescent="0.25">
      <c r="A33" s="2">
        <v>116</v>
      </c>
      <c r="B33" s="2" t="s">
        <v>540</v>
      </c>
      <c r="C33" s="2" t="s">
        <v>541</v>
      </c>
      <c r="D33" s="2" t="s">
        <v>620</v>
      </c>
      <c r="E33" s="2" t="s">
        <v>621</v>
      </c>
      <c r="F33" s="3" t="s">
        <v>622</v>
      </c>
      <c r="G33" s="2" t="s">
        <v>623</v>
      </c>
      <c r="H33" s="2" t="s">
        <v>624</v>
      </c>
      <c r="I33" s="2" t="s">
        <v>31</v>
      </c>
      <c r="J33" s="2" t="s">
        <v>46</v>
      </c>
      <c r="K33" s="2" t="s">
        <v>33</v>
      </c>
      <c r="L33" s="2">
        <v>5</v>
      </c>
      <c r="M33" s="2" t="s">
        <v>287</v>
      </c>
      <c r="N33" s="2"/>
      <c r="O33" s="2" t="s">
        <v>622</v>
      </c>
    </row>
    <row r="34" spans="1:15" ht="30" x14ac:dyDescent="0.25">
      <c r="A34" s="2">
        <v>122</v>
      </c>
      <c r="B34" s="2" t="s">
        <v>648</v>
      </c>
      <c r="C34" s="2" t="s">
        <v>649</v>
      </c>
      <c r="D34" s="2" t="s">
        <v>650</v>
      </c>
      <c r="E34" s="2" t="s">
        <v>651</v>
      </c>
      <c r="F34" s="3" t="s">
        <v>652</v>
      </c>
      <c r="G34" s="2" t="s">
        <v>149</v>
      </c>
      <c r="H34" s="2" t="s">
        <v>653</v>
      </c>
      <c r="I34" s="2" t="s">
        <v>22</v>
      </c>
      <c r="J34" s="2" t="s">
        <v>397</v>
      </c>
      <c r="K34" s="2" t="s">
        <v>70</v>
      </c>
      <c r="L34" s="2">
        <v>5</v>
      </c>
      <c r="M34" s="2" t="s">
        <v>654</v>
      </c>
      <c r="N34" s="2"/>
      <c r="O34" s="2" t="s">
        <v>652</v>
      </c>
    </row>
    <row r="35" spans="1:15" ht="30" x14ac:dyDescent="0.25">
      <c r="A35" s="2">
        <v>129</v>
      </c>
      <c r="B35" s="2" t="s">
        <v>680</v>
      </c>
      <c r="C35" s="2" t="s">
        <v>681</v>
      </c>
      <c r="D35" s="2" t="s">
        <v>519</v>
      </c>
      <c r="E35" s="2" t="s">
        <v>682</v>
      </c>
      <c r="F35" s="3" t="s">
        <v>79</v>
      </c>
      <c r="G35" s="2" t="s">
        <v>80</v>
      </c>
      <c r="H35" s="2" t="s">
        <v>683</v>
      </c>
      <c r="I35" s="2" t="s">
        <v>684</v>
      </c>
      <c r="J35" s="2" t="s">
        <v>685</v>
      </c>
      <c r="K35" s="2" t="s">
        <v>33</v>
      </c>
      <c r="L35" s="2">
        <v>5</v>
      </c>
      <c r="M35" s="2" t="s">
        <v>686</v>
      </c>
      <c r="N35" s="2"/>
      <c r="O35" s="2" t="s">
        <v>79</v>
      </c>
    </row>
  </sheetData>
  <autoFilter ref="A1:O35" xr:uid="{00000000-0009-0000-0000-000002000000}"/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5" r:id="rId4" xr:uid="{00000000-0004-0000-0200-000003000000}"/>
    <hyperlink ref="F6" r:id="rId5" xr:uid="{00000000-0004-0000-0200-000004000000}"/>
    <hyperlink ref="F7" r:id="rId6" xr:uid="{00000000-0004-0000-0200-000005000000}"/>
    <hyperlink ref="F8" r:id="rId7" xr:uid="{00000000-0004-0000-0200-000006000000}"/>
    <hyperlink ref="F9" r:id="rId8" xr:uid="{00000000-0004-0000-0200-000007000000}"/>
    <hyperlink ref="F10" r:id="rId9" xr:uid="{00000000-0004-0000-0200-000008000000}"/>
    <hyperlink ref="F11" r:id="rId10" xr:uid="{00000000-0004-0000-0200-000009000000}"/>
    <hyperlink ref="F12" r:id="rId11" xr:uid="{00000000-0004-0000-0200-00000A000000}"/>
    <hyperlink ref="F13" r:id="rId12" xr:uid="{00000000-0004-0000-0200-00000B000000}"/>
    <hyperlink ref="F14" r:id="rId13" xr:uid="{00000000-0004-0000-0200-00000C000000}"/>
    <hyperlink ref="F15" r:id="rId14" xr:uid="{00000000-0004-0000-0200-00000D000000}"/>
    <hyperlink ref="F16" r:id="rId15" xr:uid="{00000000-0004-0000-0200-00000E000000}"/>
    <hyperlink ref="F17" r:id="rId16" xr:uid="{00000000-0004-0000-0200-00000F000000}"/>
    <hyperlink ref="F18" r:id="rId17" xr:uid="{00000000-0004-0000-0200-000010000000}"/>
    <hyperlink ref="F19" r:id="rId18" xr:uid="{00000000-0004-0000-0200-000011000000}"/>
    <hyperlink ref="F20" r:id="rId19" xr:uid="{00000000-0004-0000-0200-000012000000}"/>
    <hyperlink ref="F21" r:id="rId20" xr:uid="{00000000-0004-0000-0200-000013000000}"/>
    <hyperlink ref="F22" r:id="rId21" xr:uid="{00000000-0004-0000-0200-000014000000}"/>
    <hyperlink ref="F23" r:id="rId22" xr:uid="{00000000-0004-0000-0200-000015000000}"/>
    <hyperlink ref="F24" r:id="rId23" xr:uid="{00000000-0004-0000-0200-000016000000}"/>
    <hyperlink ref="F25" r:id="rId24" xr:uid="{00000000-0004-0000-0200-000017000000}"/>
    <hyperlink ref="F26" r:id="rId25" xr:uid="{00000000-0004-0000-0200-000018000000}"/>
    <hyperlink ref="F27" r:id="rId26" xr:uid="{00000000-0004-0000-0200-000019000000}"/>
    <hyperlink ref="F28" r:id="rId27" xr:uid="{00000000-0004-0000-0200-00001A000000}"/>
    <hyperlink ref="F29" r:id="rId28" xr:uid="{00000000-0004-0000-0200-00001B000000}"/>
    <hyperlink ref="F30" r:id="rId29" xr:uid="{00000000-0004-0000-0200-00001C000000}"/>
    <hyperlink ref="F31" r:id="rId30" xr:uid="{00000000-0004-0000-0200-00001D000000}"/>
    <hyperlink ref="F32" r:id="rId31" xr:uid="{00000000-0004-0000-0200-00001E000000}"/>
    <hyperlink ref="F33" r:id="rId32" xr:uid="{00000000-0004-0000-0200-00001F000000}"/>
    <hyperlink ref="F34" r:id="rId33" xr:uid="{00000000-0004-0000-0200-000020000000}"/>
    <hyperlink ref="F35" r:id="rId34" xr:uid="{00000000-0004-0000-0200-00002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cols>
    <col min="1" max="1" width="36" customWidth="1"/>
    <col min="2" max="3" width="60" customWidth="1"/>
  </cols>
  <sheetData>
    <row r="1" spans="1:3" x14ac:dyDescent="0.25">
      <c r="A1" s="8" t="s">
        <v>714</v>
      </c>
      <c r="B1" s="8" t="s">
        <v>715</v>
      </c>
      <c r="C1" s="8" t="s">
        <v>716</v>
      </c>
    </row>
    <row r="2" spans="1:3" ht="30" x14ac:dyDescent="0.25">
      <c r="A2" s="6" t="s">
        <v>717</v>
      </c>
      <c r="B2" s="9" t="s">
        <v>718</v>
      </c>
      <c r="C2" s="6" t="s">
        <v>719</v>
      </c>
    </row>
    <row r="3" spans="1:3" ht="30" x14ac:dyDescent="0.25">
      <c r="A3" s="6" t="s">
        <v>720</v>
      </c>
      <c r="B3" s="9" t="s">
        <v>721</v>
      </c>
      <c r="C3" s="6" t="s">
        <v>722</v>
      </c>
    </row>
    <row r="4" spans="1:3" x14ac:dyDescent="0.25">
      <c r="A4" s="6" t="s">
        <v>723</v>
      </c>
      <c r="B4" s="9" t="s">
        <v>724</v>
      </c>
      <c r="C4" s="6" t="s">
        <v>725</v>
      </c>
    </row>
    <row r="5" spans="1:3" x14ac:dyDescent="0.25">
      <c r="A5" s="6" t="s">
        <v>726</v>
      </c>
      <c r="B5" s="9" t="s">
        <v>727</v>
      </c>
      <c r="C5" s="6" t="s">
        <v>728</v>
      </c>
    </row>
    <row r="6" spans="1:3" x14ac:dyDescent="0.25">
      <c r="A6" s="6" t="s">
        <v>729</v>
      </c>
      <c r="B6" s="9" t="s">
        <v>730</v>
      </c>
      <c r="C6" s="6" t="s">
        <v>731</v>
      </c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cols>
    <col min="1" max="1" width="24" customWidth="1"/>
    <col min="2" max="2" width="120" customWidth="1"/>
  </cols>
  <sheetData>
    <row r="1" spans="1:2" ht="30" x14ac:dyDescent="0.25">
      <c r="A1" s="10" t="s">
        <v>732</v>
      </c>
      <c r="B1" s="10" t="s">
        <v>733</v>
      </c>
    </row>
    <row r="2" spans="1:2" ht="30" x14ac:dyDescent="0.25">
      <c r="A2" s="6" t="s">
        <v>734</v>
      </c>
      <c r="B2" s="6" t="s">
        <v>735</v>
      </c>
    </row>
    <row r="3" spans="1:2" ht="30" x14ac:dyDescent="0.25">
      <c r="A3" s="6" t="s">
        <v>736</v>
      </c>
      <c r="B3" s="6" t="s">
        <v>737</v>
      </c>
    </row>
    <row r="4" spans="1:2" x14ac:dyDescent="0.25">
      <c r="A4" s="6" t="s">
        <v>738</v>
      </c>
      <c r="B4" s="6" t="s">
        <v>739</v>
      </c>
    </row>
    <row r="5" spans="1:2" x14ac:dyDescent="0.25">
      <c r="A5" s="6" t="s">
        <v>740</v>
      </c>
      <c r="B5" s="6" t="s">
        <v>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 Expo Database</vt:lpstr>
      <vt:lpstr>Dashboard</vt:lpstr>
      <vt:lpstr>AIPT Priority Shortlist</vt:lpstr>
      <vt:lpstr>Source Notes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Hoai Nguyen</cp:lastModifiedBy>
  <dcterms:created xsi:type="dcterms:W3CDTF">2026-06-01T04:44:12Z</dcterms:created>
  <dcterms:modified xsi:type="dcterms:W3CDTF">2026-06-01T04:49:43Z</dcterms:modified>
</cp:coreProperties>
</file>